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HACKVIBE 2.O\"/>
    </mc:Choice>
  </mc:AlternateContent>
  <xr:revisionPtr revIDLastSave="0" documentId="13_ncr:1_{FEEB3DA9-4979-4287-9729-1E9655D4E0CB}" xr6:coauthVersionLast="47" xr6:coauthVersionMax="47" xr10:uidLastSave="{00000000-0000-0000-0000-000000000000}"/>
  <bookViews>
    <workbookView xWindow="-110" yWindow="-110" windowWidth="19420" windowHeight="10300" tabRatio="500" firstSheet="4" activeTab="7" xr2:uid="{00000000-000D-0000-FFFF-FFFF00000000}"/>
  </bookViews>
  <sheets>
    <sheet name="Team Wise" sheetId="1" r:id="rId1"/>
    <sheet name="Team Evaluation" sheetId="2" r:id="rId2"/>
    <sheet name="AI" sheetId="5" r:id="rId3"/>
    <sheet name="CS" sheetId="3" r:id="rId4"/>
    <sheet name="IOT" sheetId="6" r:id="rId5"/>
    <sheet name="NA" sheetId="7" r:id="rId6"/>
    <sheet name="1ST" sheetId="8" r:id="rId7"/>
    <sheet name="2ND" sheetId="9" r:id="rId8"/>
    <sheet name="3RD" sheetId="10" r:id="rId9"/>
    <sheet name="4TH" sheetId="11" r:id="rId10"/>
    <sheet name="VIGNAN" sheetId="12" r:id="rId11"/>
    <sheet name="OTHERS" sheetId="13" r:id="rId12"/>
  </sheets>
  <definedNames>
    <definedName name="_xlnm._FilterDatabase" localSheetId="1" hidden="1">'Team Evaluation'!$A$5:$S$219</definedName>
    <definedName name="_xlnm._FilterDatabase" localSheetId="0" hidden="1">'Team Wise'!$A$4:$K$643</definedName>
    <definedName name="_xlnm.Print_Titles" localSheetId="1">'Team Evaluation'!$5:$5</definedName>
    <definedName name="_xlnm.Print_Titles" localSheetId="0">'Team Wise'!$4:$4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7" l="1"/>
  <c r="J8" i="7"/>
  <c r="J7" i="7"/>
  <c r="J6" i="7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P219" i="2"/>
  <c r="R219" i="2" s="1"/>
  <c r="K219" i="2"/>
  <c r="J219" i="2"/>
  <c r="P218" i="2"/>
  <c r="R218" i="2" s="1"/>
  <c r="K218" i="2"/>
  <c r="J218" i="2"/>
  <c r="P217" i="2"/>
  <c r="R217" i="2" s="1"/>
  <c r="K217" i="2"/>
  <c r="J217" i="2"/>
  <c r="P216" i="2"/>
  <c r="Q216" i="2" s="1"/>
  <c r="K216" i="2"/>
  <c r="J216" i="2"/>
  <c r="P215" i="2"/>
  <c r="R215" i="2" s="1"/>
  <c r="K215" i="2"/>
  <c r="J215" i="2"/>
  <c r="P214" i="2"/>
  <c r="R214" i="2" s="1"/>
  <c r="K214" i="2"/>
  <c r="J214" i="2"/>
  <c r="P213" i="2"/>
  <c r="R213" i="2" s="1"/>
  <c r="K213" i="2"/>
  <c r="J213" i="2"/>
  <c r="P212" i="2"/>
  <c r="Q212" i="2" s="1"/>
  <c r="K212" i="2"/>
  <c r="J212" i="2"/>
  <c r="P211" i="2"/>
  <c r="R211" i="2" s="1"/>
  <c r="K211" i="2"/>
  <c r="J211" i="2"/>
  <c r="P210" i="2"/>
  <c r="R210" i="2" s="1"/>
  <c r="K210" i="2"/>
  <c r="J210" i="2"/>
  <c r="P209" i="2"/>
  <c r="Q209" i="2" s="1"/>
  <c r="K209" i="2"/>
  <c r="J209" i="2"/>
  <c r="P208" i="2"/>
  <c r="Q208" i="2" s="1"/>
  <c r="K208" i="2"/>
  <c r="J208" i="2"/>
  <c r="P207" i="2"/>
  <c r="R207" i="2" s="1"/>
  <c r="K207" i="2"/>
  <c r="J207" i="2"/>
  <c r="P206" i="2"/>
  <c r="R206" i="2" s="1"/>
  <c r="K206" i="2"/>
  <c r="J206" i="2"/>
  <c r="P205" i="2"/>
  <c r="Q205" i="2" s="1"/>
  <c r="K205" i="2"/>
  <c r="J205" i="2"/>
  <c r="P204" i="2"/>
  <c r="Q204" i="2" s="1"/>
  <c r="K204" i="2"/>
  <c r="J204" i="2"/>
  <c r="P203" i="2"/>
  <c r="R203" i="2" s="1"/>
  <c r="K203" i="2"/>
  <c r="J203" i="2"/>
  <c r="P202" i="2"/>
  <c r="R202" i="2" s="1"/>
  <c r="K202" i="2"/>
  <c r="J202" i="2"/>
  <c r="P201" i="2"/>
  <c r="R201" i="2" s="1"/>
  <c r="K201" i="2"/>
  <c r="J201" i="2"/>
  <c r="P200" i="2"/>
  <c r="Q200" i="2" s="1"/>
  <c r="K200" i="2"/>
  <c r="J200" i="2"/>
  <c r="P199" i="2"/>
  <c r="R199" i="2" s="1"/>
  <c r="K199" i="2"/>
  <c r="J199" i="2"/>
  <c r="P198" i="2"/>
  <c r="R198" i="2" s="1"/>
  <c r="K198" i="2"/>
  <c r="J198" i="2"/>
  <c r="P197" i="2"/>
  <c r="R197" i="2" s="1"/>
  <c r="K197" i="2"/>
  <c r="J197" i="2"/>
  <c r="P196" i="2"/>
  <c r="Q196" i="2" s="1"/>
  <c r="K196" i="2"/>
  <c r="J196" i="2"/>
  <c r="P195" i="2"/>
  <c r="R195" i="2" s="1"/>
  <c r="K195" i="2"/>
  <c r="J195" i="2"/>
  <c r="P194" i="2"/>
  <c r="R194" i="2" s="1"/>
  <c r="K194" i="2"/>
  <c r="J194" i="2"/>
  <c r="P193" i="2"/>
  <c r="Q193" i="2" s="1"/>
  <c r="K193" i="2"/>
  <c r="J193" i="2"/>
  <c r="P192" i="2"/>
  <c r="Q192" i="2" s="1"/>
  <c r="K192" i="2"/>
  <c r="J192" i="2"/>
  <c r="P191" i="2"/>
  <c r="R191" i="2" s="1"/>
  <c r="K191" i="2"/>
  <c r="J191" i="2"/>
  <c r="P190" i="2"/>
  <c r="R190" i="2" s="1"/>
  <c r="K190" i="2"/>
  <c r="J190" i="2"/>
  <c r="P189" i="2"/>
  <c r="Q189" i="2" s="1"/>
  <c r="K189" i="2"/>
  <c r="J189" i="2"/>
  <c r="P188" i="2"/>
  <c r="Q188" i="2" s="1"/>
  <c r="K188" i="2"/>
  <c r="J188" i="2"/>
  <c r="P187" i="2"/>
  <c r="R187" i="2" s="1"/>
  <c r="K187" i="2"/>
  <c r="J187" i="2"/>
  <c r="P186" i="2"/>
  <c r="R186" i="2" s="1"/>
  <c r="K186" i="2"/>
  <c r="J186" i="2"/>
  <c r="P185" i="2"/>
  <c r="R185" i="2" s="1"/>
  <c r="K185" i="2"/>
  <c r="J185" i="2"/>
  <c r="P184" i="2"/>
  <c r="Q184" i="2" s="1"/>
  <c r="K184" i="2"/>
  <c r="J184" i="2"/>
  <c r="P183" i="2"/>
  <c r="R183" i="2" s="1"/>
  <c r="K183" i="2"/>
  <c r="J183" i="2"/>
  <c r="P182" i="2"/>
  <c r="R182" i="2" s="1"/>
  <c r="K182" i="2"/>
  <c r="J182" i="2"/>
  <c r="P181" i="2"/>
  <c r="R181" i="2" s="1"/>
  <c r="K181" i="2"/>
  <c r="J181" i="2"/>
  <c r="P180" i="2"/>
  <c r="Q180" i="2" s="1"/>
  <c r="K180" i="2"/>
  <c r="J180" i="2"/>
  <c r="P179" i="2"/>
  <c r="R179" i="2" s="1"/>
  <c r="K179" i="2"/>
  <c r="J179" i="2"/>
  <c r="P178" i="2"/>
  <c r="R178" i="2" s="1"/>
  <c r="K178" i="2"/>
  <c r="J178" i="2"/>
  <c r="P177" i="2"/>
  <c r="Q177" i="2" s="1"/>
  <c r="K177" i="2"/>
  <c r="J177" i="2"/>
  <c r="P176" i="2"/>
  <c r="Q176" i="2" s="1"/>
  <c r="K176" i="2"/>
  <c r="J176" i="2"/>
  <c r="P175" i="2"/>
  <c r="R175" i="2" s="1"/>
  <c r="K175" i="2"/>
  <c r="J175" i="2"/>
  <c r="P174" i="2"/>
  <c r="R174" i="2" s="1"/>
  <c r="K174" i="2"/>
  <c r="J174" i="2"/>
  <c r="P173" i="2"/>
  <c r="Q173" i="2" s="1"/>
  <c r="K173" i="2"/>
  <c r="J173" i="2"/>
  <c r="P172" i="2"/>
  <c r="Q172" i="2" s="1"/>
  <c r="K172" i="2"/>
  <c r="J172" i="2"/>
  <c r="P171" i="2"/>
  <c r="R171" i="2" s="1"/>
  <c r="K171" i="2"/>
  <c r="J171" i="2"/>
  <c r="P170" i="2"/>
  <c r="R170" i="2" s="1"/>
  <c r="K170" i="2"/>
  <c r="J170" i="2"/>
  <c r="P169" i="2"/>
  <c r="R169" i="2" s="1"/>
  <c r="K169" i="2"/>
  <c r="J169" i="2"/>
  <c r="P168" i="2"/>
  <c r="Q168" i="2" s="1"/>
  <c r="K168" i="2"/>
  <c r="J168" i="2"/>
  <c r="P167" i="2"/>
  <c r="R167" i="2" s="1"/>
  <c r="K167" i="2"/>
  <c r="J167" i="2"/>
  <c r="P166" i="2"/>
  <c r="R166" i="2" s="1"/>
  <c r="K166" i="2"/>
  <c r="J166" i="2"/>
  <c r="P165" i="2"/>
  <c r="R165" i="2" s="1"/>
  <c r="K165" i="2"/>
  <c r="J165" i="2"/>
  <c r="P164" i="2"/>
  <c r="Q164" i="2" s="1"/>
  <c r="K164" i="2"/>
  <c r="J164" i="2"/>
  <c r="P163" i="2"/>
  <c r="R163" i="2" s="1"/>
  <c r="K163" i="2"/>
  <c r="J163" i="2"/>
  <c r="P162" i="2"/>
  <c r="R162" i="2" s="1"/>
  <c r="K162" i="2"/>
  <c r="J162" i="2"/>
  <c r="P161" i="2"/>
  <c r="Q161" i="2" s="1"/>
  <c r="K161" i="2"/>
  <c r="J161" i="2"/>
  <c r="P160" i="2"/>
  <c r="Q160" i="2" s="1"/>
  <c r="K160" i="2"/>
  <c r="J160" i="2"/>
  <c r="P159" i="2"/>
  <c r="R159" i="2" s="1"/>
  <c r="K159" i="2"/>
  <c r="J159" i="2"/>
  <c r="P158" i="2"/>
  <c r="R158" i="2" s="1"/>
  <c r="K158" i="2"/>
  <c r="J158" i="2"/>
  <c r="P157" i="2"/>
  <c r="R157" i="2" s="1"/>
  <c r="K157" i="2"/>
  <c r="J157" i="2"/>
  <c r="P156" i="2"/>
  <c r="Q156" i="2" s="1"/>
  <c r="K156" i="2"/>
  <c r="J156" i="2"/>
  <c r="P155" i="2"/>
  <c r="R155" i="2" s="1"/>
  <c r="K155" i="2"/>
  <c r="J155" i="2"/>
  <c r="P154" i="2"/>
  <c r="R154" i="2" s="1"/>
  <c r="K154" i="2"/>
  <c r="J154" i="2"/>
  <c r="P153" i="2"/>
  <c r="R153" i="2" s="1"/>
  <c r="K153" i="2"/>
  <c r="J153" i="2"/>
  <c r="P152" i="2"/>
  <c r="Q152" i="2" s="1"/>
  <c r="K152" i="2"/>
  <c r="J152" i="2"/>
  <c r="P151" i="2"/>
  <c r="R151" i="2" s="1"/>
  <c r="K151" i="2"/>
  <c r="J151" i="2"/>
  <c r="P150" i="2"/>
  <c r="R150" i="2" s="1"/>
  <c r="K150" i="2"/>
  <c r="J150" i="2"/>
  <c r="P149" i="2"/>
  <c r="R149" i="2" s="1"/>
  <c r="K149" i="2"/>
  <c r="J149" i="2"/>
  <c r="P148" i="2"/>
  <c r="Q148" i="2" s="1"/>
  <c r="K148" i="2"/>
  <c r="J148" i="2"/>
  <c r="P147" i="2"/>
  <c r="R147" i="2" s="1"/>
  <c r="K147" i="2"/>
  <c r="J147" i="2"/>
  <c r="P146" i="2"/>
  <c r="R146" i="2" s="1"/>
  <c r="K146" i="2"/>
  <c r="J146" i="2"/>
  <c r="P145" i="2"/>
  <c r="R145" i="2" s="1"/>
  <c r="K145" i="2"/>
  <c r="J145" i="2"/>
  <c r="P144" i="2"/>
  <c r="Q144" i="2" s="1"/>
  <c r="K144" i="2"/>
  <c r="J144" i="2"/>
  <c r="P143" i="2"/>
  <c r="R143" i="2" s="1"/>
  <c r="K143" i="2"/>
  <c r="J143" i="2"/>
  <c r="P142" i="2"/>
  <c r="R142" i="2" s="1"/>
  <c r="K142" i="2"/>
  <c r="J142" i="2"/>
  <c r="P141" i="2"/>
  <c r="R141" i="2" s="1"/>
  <c r="K141" i="2"/>
  <c r="J141" i="2"/>
  <c r="P140" i="2"/>
  <c r="Q140" i="2" s="1"/>
  <c r="K140" i="2"/>
  <c r="J140" i="2"/>
  <c r="P139" i="2"/>
  <c r="R139" i="2" s="1"/>
  <c r="K139" i="2"/>
  <c r="J139" i="2"/>
  <c r="P138" i="2"/>
  <c r="R138" i="2" s="1"/>
  <c r="K138" i="2"/>
  <c r="J138" i="2"/>
  <c r="P137" i="2"/>
  <c r="R137" i="2" s="1"/>
  <c r="K137" i="2"/>
  <c r="J137" i="2"/>
  <c r="P136" i="2"/>
  <c r="Q136" i="2" s="1"/>
  <c r="K136" i="2"/>
  <c r="J136" i="2"/>
  <c r="P135" i="2"/>
  <c r="R135" i="2" s="1"/>
  <c r="K135" i="2"/>
  <c r="J135" i="2"/>
  <c r="P134" i="2"/>
  <c r="R134" i="2" s="1"/>
  <c r="K134" i="2"/>
  <c r="J134" i="2"/>
  <c r="P133" i="2"/>
  <c r="R133" i="2" s="1"/>
  <c r="K133" i="2"/>
  <c r="J133" i="2"/>
  <c r="P132" i="2"/>
  <c r="Q132" i="2" s="1"/>
  <c r="K132" i="2"/>
  <c r="J132" i="2"/>
  <c r="P131" i="2"/>
  <c r="R131" i="2" s="1"/>
  <c r="K131" i="2"/>
  <c r="J131" i="2"/>
  <c r="P130" i="2"/>
  <c r="R130" i="2" s="1"/>
  <c r="K130" i="2"/>
  <c r="J130" i="2"/>
  <c r="P129" i="2"/>
  <c r="Q129" i="2" s="1"/>
  <c r="K129" i="2"/>
  <c r="J129" i="2"/>
  <c r="P128" i="2"/>
  <c r="Q128" i="2" s="1"/>
  <c r="K128" i="2"/>
  <c r="J128" i="2"/>
  <c r="P127" i="2"/>
  <c r="R127" i="2" s="1"/>
  <c r="K127" i="2"/>
  <c r="J127" i="2"/>
  <c r="P126" i="2"/>
  <c r="R126" i="2" s="1"/>
  <c r="K126" i="2"/>
  <c r="J126" i="2"/>
  <c r="P125" i="2"/>
  <c r="R125" i="2" s="1"/>
  <c r="K125" i="2"/>
  <c r="J125" i="2"/>
  <c r="P124" i="2"/>
  <c r="Q124" i="2" s="1"/>
  <c r="K124" i="2"/>
  <c r="J124" i="2"/>
  <c r="P123" i="2"/>
  <c r="R123" i="2" s="1"/>
  <c r="K123" i="2"/>
  <c r="J123" i="2"/>
  <c r="P122" i="2"/>
  <c r="R122" i="2" s="1"/>
  <c r="K122" i="2"/>
  <c r="J122" i="2"/>
  <c r="P121" i="2"/>
  <c r="R121" i="2" s="1"/>
  <c r="K121" i="2"/>
  <c r="J121" i="2"/>
  <c r="P120" i="2"/>
  <c r="Q120" i="2" s="1"/>
  <c r="K120" i="2"/>
  <c r="J120" i="2"/>
  <c r="P119" i="2"/>
  <c r="R119" i="2" s="1"/>
  <c r="K119" i="2"/>
  <c r="J119" i="2"/>
  <c r="P118" i="2"/>
  <c r="R118" i="2" s="1"/>
  <c r="K118" i="2"/>
  <c r="J118" i="2"/>
  <c r="P117" i="2"/>
  <c r="R117" i="2" s="1"/>
  <c r="K117" i="2"/>
  <c r="J117" i="2"/>
  <c r="P116" i="2"/>
  <c r="Q116" i="2" s="1"/>
  <c r="K116" i="2"/>
  <c r="J116" i="2"/>
  <c r="P115" i="2"/>
  <c r="R115" i="2" s="1"/>
  <c r="K115" i="2"/>
  <c r="J115" i="2"/>
  <c r="P114" i="2"/>
  <c r="R114" i="2" s="1"/>
  <c r="K114" i="2"/>
  <c r="J114" i="2"/>
  <c r="P113" i="2"/>
  <c r="R113" i="2" s="1"/>
  <c r="K113" i="2"/>
  <c r="J113" i="2"/>
  <c r="P112" i="2"/>
  <c r="Q112" i="2" s="1"/>
  <c r="K112" i="2"/>
  <c r="J112" i="2"/>
  <c r="P111" i="2"/>
  <c r="R111" i="2" s="1"/>
  <c r="K111" i="2"/>
  <c r="J111" i="2"/>
  <c r="P110" i="2"/>
  <c r="R110" i="2" s="1"/>
  <c r="K110" i="2"/>
  <c r="J110" i="2"/>
  <c r="P109" i="2"/>
  <c r="R109" i="2" s="1"/>
  <c r="K109" i="2"/>
  <c r="J109" i="2"/>
  <c r="P108" i="2"/>
  <c r="R108" i="2" s="1"/>
  <c r="K108" i="2"/>
  <c r="J108" i="2"/>
  <c r="P107" i="2"/>
  <c r="R107" i="2" s="1"/>
  <c r="K107" i="2"/>
  <c r="J107" i="2"/>
  <c r="P106" i="2"/>
  <c r="R106" i="2" s="1"/>
  <c r="K106" i="2"/>
  <c r="J106" i="2"/>
  <c r="P105" i="2"/>
  <c r="R105" i="2" s="1"/>
  <c r="K105" i="2"/>
  <c r="J105" i="2"/>
  <c r="P104" i="2"/>
  <c r="R104" i="2" s="1"/>
  <c r="K104" i="2"/>
  <c r="J104" i="2"/>
  <c r="P103" i="2"/>
  <c r="R103" i="2" s="1"/>
  <c r="K103" i="2"/>
  <c r="J103" i="2"/>
  <c r="P102" i="2"/>
  <c r="R102" i="2" s="1"/>
  <c r="K102" i="2"/>
  <c r="J102" i="2"/>
  <c r="P101" i="2"/>
  <c r="R101" i="2" s="1"/>
  <c r="K101" i="2"/>
  <c r="J101" i="2"/>
  <c r="P100" i="2"/>
  <c r="R100" i="2" s="1"/>
  <c r="K100" i="2"/>
  <c r="J100" i="2"/>
  <c r="P99" i="2"/>
  <c r="R99" i="2" s="1"/>
  <c r="K99" i="2"/>
  <c r="J99" i="2"/>
  <c r="P98" i="2"/>
  <c r="R98" i="2" s="1"/>
  <c r="K98" i="2"/>
  <c r="J98" i="2"/>
  <c r="P97" i="2"/>
  <c r="R97" i="2" s="1"/>
  <c r="K97" i="2"/>
  <c r="J97" i="2"/>
  <c r="P96" i="2"/>
  <c r="R96" i="2" s="1"/>
  <c r="K96" i="2"/>
  <c r="J96" i="2"/>
  <c r="P95" i="2"/>
  <c r="R95" i="2" s="1"/>
  <c r="K95" i="2"/>
  <c r="J95" i="2"/>
  <c r="P94" i="2"/>
  <c r="K94" i="2"/>
  <c r="J94" i="2"/>
  <c r="P93" i="2"/>
  <c r="R93" i="2" s="1"/>
  <c r="K93" i="2"/>
  <c r="J93" i="2"/>
  <c r="P92" i="2"/>
  <c r="R92" i="2" s="1"/>
  <c r="K92" i="2"/>
  <c r="J92" i="2"/>
  <c r="P91" i="2"/>
  <c r="R91" i="2" s="1"/>
  <c r="K91" i="2"/>
  <c r="J91" i="2"/>
  <c r="P90" i="2"/>
  <c r="K90" i="2"/>
  <c r="J90" i="2"/>
  <c r="P89" i="2"/>
  <c r="R89" i="2" s="1"/>
  <c r="K89" i="2"/>
  <c r="J89" i="2"/>
  <c r="P88" i="2"/>
  <c r="R88" i="2" s="1"/>
  <c r="K88" i="2"/>
  <c r="J88" i="2"/>
  <c r="P87" i="2"/>
  <c r="R87" i="2" s="1"/>
  <c r="K87" i="2"/>
  <c r="J87" i="2"/>
  <c r="P86" i="2"/>
  <c r="K86" i="2"/>
  <c r="J86" i="2"/>
  <c r="P85" i="2"/>
  <c r="R85" i="2" s="1"/>
  <c r="K85" i="2"/>
  <c r="J85" i="2"/>
  <c r="P84" i="2"/>
  <c r="R84" i="2" s="1"/>
  <c r="K84" i="2"/>
  <c r="J84" i="2"/>
  <c r="P83" i="2"/>
  <c r="R83" i="2" s="1"/>
  <c r="K83" i="2"/>
  <c r="J83" i="2"/>
  <c r="P82" i="2"/>
  <c r="K82" i="2"/>
  <c r="J82" i="2"/>
  <c r="P81" i="2"/>
  <c r="R81" i="2" s="1"/>
  <c r="K81" i="2"/>
  <c r="J81" i="2"/>
  <c r="P80" i="2"/>
  <c r="R80" i="2" s="1"/>
  <c r="K80" i="2"/>
  <c r="J80" i="2"/>
  <c r="P79" i="2"/>
  <c r="R79" i="2" s="1"/>
  <c r="K79" i="2"/>
  <c r="J79" i="2"/>
  <c r="P78" i="2"/>
  <c r="K78" i="2"/>
  <c r="J78" i="2"/>
  <c r="P77" i="2"/>
  <c r="R77" i="2" s="1"/>
  <c r="K77" i="2"/>
  <c r="J77" i="2"/>
  <c r="P76" i="2"/>
  <c r="R76" i="2" s="1"/>
  <c r="K76" i="2"/>
  <c r="J76" i="2"/>
  <c r="P75" i="2"/>
  <c r="R75" i="2" s="1"/>
  <c r="K75" i="2"/>
  <c r="J75" i="2"/>
  <c r="P74" i="2"/>
  <c r="K74" i="2"/>
  <c r="J74" i="2"/>
  <c r="P73" i="2"/>
  <c r="R73" i="2" s="1"/>
  <c r="K73" i="2"/>
  <c r="J73" i="2"/>
  <c r="P72" i="2"/>
  <c r="R72" i="2" s="1"/>
  <c r="K72" i="2"/>
  <c r="J72" i="2"/>
  <c r="P71" i="2"/>
  <c r="R71" i="2" s="1"/>
  <c r="K71" i="2"/>
  <c r="J71" i="2"/>
  <c r="P70" i="2"/>
  <c r="K70" i="2"/>
  <c r="J70" i="2"/>
  <c r="P69" i="2"/>
  <c r="R69" i="2" s="1"/>
  <c r="K69" i="2"/>
  <c r="J69" i="2"/>
  <c r="P68" i="2"/>
  <c r="R68" i="2" s="1"/>
  <c r="K68" i="2"/>
  <c r="J68" i="2"/>
  <c r="P67" i="2"/>
  <c r="R67" i="2" s="1"/>
  <c r="K67" i="2"/>
  <c r="J67" i="2"/>
  <c r="P66" i="2"/>
  <c r="K66" i="2"/>
  <c r="J66" i="2"/>
  <c r="P65" i="2"/>
  <c r="R65" i="2" s="1"/>
  <c r="K65" i="2"/>
  <c r="J65" i="2"/>
  <c r="P64" i="2"/>
  <c r="R64" i="2" s="1"/>
  <c r="K64" i="2"/>
  <c r="J64" i="2"/>
  <c r="P63" i="2"/>
  <c r="R63" i="2" s="1"/>
  <c r="K63" i="2"/>
  <c r="J63" i="2"/>
  <c r="P62" i="2"/>
  <c r="R62" i="2" s="1"/>
  <c r="K62" i="2"/>
  <c r="J62" i="2"/>
  <c r="P61" i="2"/>
  <c r="R61" i="2" s="1"/>
  <c r="K61" i="2"/>
  <c r="J61" i="2"/>
  <c r="P60" i="2"/>
  <c r="R60" i="2" s="1"/>
  <c r="K60" i="2"/>
  <c r="J60" i="2"/>
  <c r="P59" i="2"/>
  <c r="K59" i="2"/>
  <c r="J59" i="2"/>
  <c r="P58" i="2"/>
  <c r="R58" i="2" s="1"/>
  <c r="K58" i="2"/>
  <c r="J58" i="2"/>
  <c r="P57" i="2"/>
  <c r="R57" i="2" s="1"/>
  <c r="K57" i="2"/>
  <c r="J57" i="2"/>
  <c r="P56" i="2"/>
  <c r="R56" i="2" s="1"/>
  <c r="K56" i="2"/>
  <c r="J56" i="2"/>
  <c r="P55" i="2"/>
  <c r="Q55" i="2" s="1"/>
  <c r="K55" i="2"/>
  <c r="J55" i="2"/>
  <c r="P54" i="2"/>
  <c r="R54" i="2" s="1"/>
  <c r="K54" i="2"/>
  <c r="J54" i="2"/>
  <c r="P53" i="2"/>
  <c r="R53" i="2" s="1"/>
  <c r="K53" i="2"/>
  <c r="J53" i="2"/>
  <c r="P52" i="2"/>
  <c r="R52" i="2" s="1"/>
  <c r="K52" i="2"/>
  <c r="J52" i="2"/>
  <c r="P51" i="2"/>
  <c r="Q51" i="2" s="1"/>
  <c r="K51" i="2"/>
  <c r="J51" i="2"/>
  <c r="P50" i="2"/>
  <c r="Q50" i="2" s="1"/>
  <c r="K50" i="2"/>
  <c r="J50" i="2"/>
  <c r="P49" i="2"/>
  <c r="R49" i="2" s="1"/>
  <c r="K49" i="2"/>
  <c r="J49" i="2"/>
  <c r="P48" i="2"/>
  <c r="R48" i="2" s="1"/>
  <c r="K48" i="2"/>
  <c r="J48" i="2"/>
  <c r="P47" i="2"/>
  <c r="R47" i="2" s="1"/>
  <c r="K47" i="2"/>
  <c r="J47" i="2"/>
  <c r="P46" i="2"/>
  <c r="Q46" i="2" s="1"/>
  <c r="K46" i="2"/>
  <c r="J46" i="2"/>
  <c r="P45" i="2"/>
  <c r="R45" i="2" s="1"/>
  <c r="K45" i="2"/>
  <c r="J45" i="2"/>
  <c r="P44" i="2"/>
  <c r="R44" i="2" s="1"/>
  <c r="K44" i="2"/>
  <c r="J44" i="2"/>
  <c r="P43" i="2"/>
  <c r="R43" i="2" s="1"/>
  <c r="K43" i="2"/>
  <c r="J43" i="2"/>
  <c r="P42" i="2"/>
  <c r="Q42" i="2" s="1"/>
  <c r="K42" i="2"/>
  <c r="J42" i="2"/>
  <c r="P41" i="2"/>
  <c r="R41" i="2" s="1"/>
  <c r="K41" i="2"/>
  <c r="J41" i="2"/>
  <c r="P40" i="2"/>
  <c r="R40" i="2" s="1"/>
  <c r="K40" i="2"/>
  <c r="J40" i="2"/>
  <c r="P39" i="2"/>
  <c r="R39" i="2" s="1"/>
  <c r="K39" i="2"/>
  <c r="J39" i="2"/>
  <c r="P38" i="2"/>
  <c r="R38" i="2" s="1"/>
  <c r="K38" i="2"/>
  <c r="J38" i="2"/>
  <c r="P37" i="2"/>
  <c r="R37" i="2" s="1"/>
  <c r="K37" i="2"/>
  <c r="J37" i="2"/>
  <c r="P36" i="2"/>
  <c r="R36" i="2" s="1"/>
  <c r="K36" i="2"/>
  <c r="J36" i="2"/>
  <c r="P35" i="2"/>
  <c r="R35" i="2" s="1"/>
  <c r="K35" i="2"/>
  <c r="J35" i="2"/>
  <c r="P34" i="2"/>
  <c r="R34" i="2" s="1"/>
  <c r="K34" i="2"/>
  <c r="J34" i="2"/>
  <c r="P33" i="2"/>
  <c r="R33" i="2" s="1"/>
  <c r="K33" i="2"/>
  <c r="J33" i="2"/>
  <c r="P32" i="2"/>
  <c r="R32" i="2" s="1"/>
  <c r="K32" i="2"/>
  <c r="J32" i="2"/>
  <c r="P31" i="2"/>
  <c r="R31" i="2" s="1"/>
  <c r="K31" i="2"/>
  <c r="J31" i="2"/>
  <c r="P30" i="2"/>
  <c r="R30" i="2" s="1"/>
  <c r="K30" i="2"/>
  <c r="J30" i="2"/>
  <c r="P29" i="2"/>
  <c r="R29" i="2" s="1"/>
  <c r="K29" i="2"/>
  <c r="J29" i="2"/>
  <c r="P28" i="2"/>
  <c r="R28" i="2" s="1"/>
  <c r="K28" i="2"/>
  <c r="J28" i="2"/>
  <c r="P27" i="2"/>
  <c r="R27" i="2" s="1"/>
  <c r="K27" i="2"/>
  <c r="J27" i="2"/>
  <c r="P26" i="2"/>
  <c r="R26" i="2" s="1"/>
  <c r="K26" i="2"/>
  <c r="J26" i="2"/>
  <c r="P25" i="2"/>
  <c r="R25" i="2" s="1"/>
  <c r="K25" i="2"/>
  <c r="J25" i="2"/>
  <c r="P24" i="2"/>
  <c r="R24" i="2" s="1"/>
  <c r="K24" i="2"/>
  <c r="J24" i="2"/>
  <c r="P23" i="2"/>
  <c r="R23" i="2" s="1"/>
  <c r="K23" i="2"/>
  <c r="J23" i="2"/>
  <c r="P22" i="2"/>
  <c r="R22" i="2" s="1"/>
  <c r="K22" i="2"/>
  <c r="J22" i="2"/>
  <c r="P21" i="2"/>
  <c r="R21" i="2" s="1"/>
  <c r="K21" i="2"/>
  <c r="J21" i="2"/>
  <c r="P20" i="2"/>
  <c r="R20" i="2" s="1"/>
  <c r="K20" i="2"/>
  <c r="J20" i="2"/>
  <c r="P19" i="2"/>
  <c r="R19" i="2" s="1"/>
  <c r="K19" i="2"/>
  <c r="J19" i="2"/>
  <c r="P18" i="2"/>
  <c r="R18" i="2" s="1"/>
  <c r="K18" i="2"/>
  <c r="J18" i="2"/>
  <c r="P17" i="2"/>
  <c r="R17" i="2" s="1"/>
  <c r="K17" i="2"/>
  <c r="J17" i="2"/>
  <c r="P16" i="2"/>
  <c r="R16" i="2" s="1"/>
  <c r="K16" i="2"/>
  <c r="J16" i="2"/>
  <c r="P15" i="2"/>
  <c r="R15" i="2" s="1"/>
  <c r="K15" i="2"/>
  <c r="J15" i="2"/>
  <c r="P14" i="2"/>
  <c r="R14" i="2" s="1"/>
  <c r="K14" i="2"/>
  <c r="J14" i="2"/>
  <c r="P13" i="2"/>
  <c r="R13" i="2" s="1"/>
  <c r="K13" i="2"/>
  <c r="J13" i="2"/>
  <c r="P12" i="2"/>
  <c r="R12" i="2" s="1"/>
  <c r="K12" i="2"/>
  <c r="J12" i="2"/>
  <c r="P11" i="2"/>
  <c r="R11" i="2" s="1"/>
  <c r="K11" i="2"/>
  <c r="J11" i="2"/>
  <c r="P10" i="2"/>
  <c r="R10" i="2" s="1"/>
  <c r="K10" i="2"/>
  <c r="J10" i="2"/>
  <c r="P9" i="2"/>
  <c r="Q9" i="2" s="1"/>
  <c r="K9" i="2"/>
  <c r="J9" i="2"/>
  <c r="P8" i="2"/>
  <c r="R8" i="2" s="1"/>
  <c r="K8" i="2"/>
  <c r="J8" i="2"/>
  <c r="P7" i="2"/>
  <c r="R7" i="2" s="1"/>
  <c r="K7" i="2"/>
  <c r="J7" i="2"/>
  <c r="P6" i="2"/>
  <c r="Q6" i="2" s="1"/>
  <c r="K6" i="2"/>
  <c r="J6" i="2"/>
  <c r="P4" i="2"/>
  <c r="R204" i="2" l="1"/>
  <c r="R205" i="2"/>
  <c r="Q125" i="2"/>
  <c r="R189" i="2"/>
  <c r="R124" i="2"/>
  <c r="R188" i="2"/>
  <c r="R129" i="2"/>
  <c r="Q22" i="2"/>
  <c r="Q38" i="2"/>
  <c r="Q23" i="2"/>
  <c r="Q27" i="2"/>
  <c r="Q35" i="2"/>
  <c r="R42" i="2"/>
  <c r="Q43" i="2"/>
  <c r="R46" i="2"/>
  <c r="Q47" i="2"/>
  <c r="R50" i="2"/>
  <c r="R51" i="2"/>
  <c r="Q52" i="2"/>
  <c r="R156" i="2"/>
  <c r="Q157" i="2"/>
  <c r="R173" i="2"/>
  <c r="Q18" i="2"/>
  <c r="Q26" i="2"/>
  <c r="Q30" i="2"/>
  <c r="Q34" i="2"/>
  <c r="R172" i="2"/>
  <c r="Q19" i="2"/>
  <c r="Q31" i="2"/>
  <c r="Q39" i="2"/>
  <c r="R128" i="2"/>
  <c r="Q14" i="2"/>
  <c r="Q57" i="2"/>
  <c r="Q60" i="2"/>
  <c r="Q64" i="2"/>
  <c r="Q68" i="2"/>
  <c r="Q72" i="2"/>
  <c r="Q76" i="2"/>
  <c r="Q80" i="2"/>
  <c r="Q84" i="2"/>
  <c r="Q88" i="2"/>
  <c r="Q92" i="2"/>
  <c r="Q96" i="2"/>
  <c r="Q100" i="2"/>
  <c r="Q104" i="2"/>
  <c r="Q108" i="2"/>
  <c r="R112" i="2"/>
  <c r="Q113" i="2"/>
  <c r="R144" i="2"/>
  <c r="Q145" i="2"/>
  <c r="Q58" i="2"/>
  <c r="Q61" i="2"/>
  <c r="Q65" i="2"/>
  <c r="Q69" i="2"/>
  <c r="Q73" i="2"/>
  <c r="Q77" i="2"/>
  <c r="Q81" i="2"/>
  <c r="Q85" i="2"/>
  <c r="Q89" i="2"/>
  <c r="Q93" i="2"/>
  <c r="Q97" i="2"/>
  <c r="Q101" i="2"/>
  <c r="Q105" i="2"/>
  <c r="Q109" i="2"/>
  <c r="R140" i="2"/>
  <c r="Q141" i="2"/>
  <c r="R161" i="2"/>
  <c r="R177" i="2"/>
  <c r="R193" i="2"/>
  <c r="R209" i="2"/>
  <c r="R9" i="2"/>
  <c r="Q10" i="2"/>
  <c r="Q15" i="2"/>
  <c r="R120" i="2"/>
  <c r="Q121" i="2"/>
  <c r="R136" i="2"/>
  <c r="Q137" i="2"/>
  <c r="R152" i="2"/>
  <c r="Q153" i="2"/>
  <c r="R168" i="2"/>
  <c r="Q169" i="2"/>
  <c r="R184" i="2"/>
  <c r="Q185" i="2"/>
  <c r="R200" i="2"/>
  <c r="Q201" i="2"/>
  <c r="R216" i="2"/>
  <c r="Q217" i="2"/>
  <c r="R6" i="2"/>
  <c r="Q7" i="2"/>
  <c r="Q11" i="2"/>
  <c r="Q56" i="2"/>
  <c r="R116" i="2"/>
  <c r="Q117" i="2"/>
  <c r="R132" i="2"/>
  <c r="Q133" i="2"/>
  <c r="R148" i="2"/>
  <c r="Q149" i="2"/>
  <c r="R164" i="2"/>
  <c r="Q165" i="2"/>
  <c r="R180" i="2"/>
  <c r="Q181" i="2"/>
  <c r="R196" i="2"/>
  <c r="Q197" i="2"/>
  <c r="R212" i="2"/>
  <c r="Q213" i="2"/>
  <c r="R160" i="2"/>
  <c r="R176" i="2"/>
  <c r="R192" i="2"/>
  <c r="R208" i="2"/>
  <c r="Q16" i="2"/>
  <c r="Q24" i="2"/>
  <c r="Q28" i="2"/>
  <c r="Q32" i="2"/>
  <c r="Q36" i="2"/>
  <c r="Q40" i="2"/>
  <c r="Q44" i="2"/>
  <c r="Q48" i="2"/>
  <c r="Q53" i="2"/>
  <c r="Q62" i="2"/>
  <c r="R66" i="2"/>
  <c r="Q66" i="2"/>
  <c r="R70" i="2"/>
  <c r="Q70" i="2"/>
  <c r="R74" i="2"/>
  <c r="Q74" i="2"/>
  <c r="R78" i="2"/>
  <c r="Q78" i="2"/>
  <c r="R82" i="2"/>
  <c r="Q82" i="2"/>
  <c r="R86" i="2"/>
  <c r="Q86" i="2"/>
  <c r="R90" i="2"/>
  <c r="Q90" i="2"/>
  <c r="R94" i="2"/>
  <c r="Q94" i="2"/>
  <c r="Q8" i="2"/>
  <c r="Q12" i="2"/>
  <c r="Q20" i="2"/>
  <c r="Q13" i="2"/>
  <c r="Q17" i="2"/>
  <c r="Q21" i="2"/>
  <c r="Q25" i="2"/>
  <c r="Q29" i="2"/>
  <c r="Q33" i="2"/>
  <c r="Q37" i="2"/>
  <c r="Q41" i="2"/>
  <c r="Q45" i="2"/>
  <c r="Q49" i="2"/>
  <c r="Q54" i="2"/>
  <c r="R55" i="2"/>
  <c r="R59" i="2"/>
  <c r="Q59" i="2"/>
  <c r="Q98" i="2"/>
  <c r="Q102" i="2"/>
  <c r="Q106" i="2"/>
  <c r="Q110" i="2"/>
  <c r="Q114" i="2"/>
  <c r="Q118" i="2"/>
  <c r="Q122" i="2"/>
  <c r="Q126" i="2"/>
  <c r="Q130" i="2"/>
  <c r="Q134" i="2"/>
  <c r="Q138" i="2"/>
  <c r="Q142" i="2"/>
  <c r="Q146" i="2"/>
  <c r="Q150" i="2"/>
  <c r="Q154" i="2"/>
  <c r="Q158" i="2"/>
  <c r="Q162" i="2"/>
  <c r="Q166" i="2"/>
  <c r="Q170" i="2"/>
  <c r="Q174" i="2"/>
  <c r="Q178" i="2"/>
  <c r="Q182" i="2"/>
  <c r="Q186" i="2"/>
  <c r="Q190" i="2"/>
  <c r="Q194" i="2"/>
  <c r="Q198" i="2"/>
  <c r="Q202" i="2"/>
  <c r="Q206" i="2"/>
  <c r="Q210" i="2"/>
  <c r="Q214" i="2"/>
  <c r="Q218" i="2"/>
  <c r="Q63" i="2"/>
  <c r="Q67" i="2"/>
  <c r="Q71" i="2"/>
  <c r="Q75" i="2"/>
  <c r="Q79" i="2"/>
  <c r="Q83" i="2"/>
  <c r="Q87" i="2"/>
  <c r="Q91" i="2"/>
  <c r="Q95" i="2"/>
  <c r="Q99" i="2"/>
  <c r="Q103" i="2"/>
  <c r="Q107" i="2"/>
  <c r="Q111" i="2"/>
  <c r="Q115" i="2"/>
  <c r="Q119" i="2"/>
  <c r="Q123" i="2"/>
  <c r="Q127" i="2"/>
  <c r="Q131" i="2"/>
  <c r="Q135" i="2"/>
  <c r="Q139" i="2"/>
  <c r="Q143" i="2"/>
  <c r="Q147" i="2"/>
  <c r="Q151" i="2"/>
  <c r="Q155" i="2"/>
  <c r="Q159" i="2"/>
  <c r="Q163" i="2"/>
  <c r="Q167" i="2"/>
  <c r="Q171" i="2"/>
  <c r="Q175" i="2"/>
  <c r="Q179" i="2"/>
  <c r="Q183" i="2"/>
  <c r="Q187" i="2"/>
  <c r="Q191" i="2"/>
  <c r="Q195" i="2"/>
  <c r="Q199" i="2"/>
  <c r="Q203" i="2"/>
  <c r="Q207" i="2"/>
  <c r="Q211" i="2"/>
  <c r="Q215" i="2"/>
  <c r="Q219" i="2"/>
</calcChain>
</file>

<file path=xl/sharedStrings.xml><?xml version="1.0" encoding="utf-8"?>
<sst xmlns="http://schemas.openxmlformats.org/spreadsheetml/2006/main" count="10379" uniqueCount="2277">
  <si>
    <t>Hackathon – Team-wise Participant List (Attendance &amp; Evaluation)</t>
  </si>
  <si>
    <t xml:space="preserve">Each team appears once (merged S.No / ID / Team Name / Track, and College/Branch/Year where identical). Teams are grouped by Track (alternate shading per team, thick line between teams). Fill the yellow Attendance column using the dropdown (Present / Absent). </t>
  </si>
  <si>
    <t>S.No</t>
  </si>
  <si>
    <t>Registration ID</t>
  </si>
  <si>
    <t>Team Name</t>
  </si>
  <si>
    <t>Team Member Name</t>
  </si>
  <si>
    <t>Role</t>
  </si>
  <si>
    <t>College</t>
  </si>
  <si>
    <t>Branch</t>
  </si>
  <si>
    <t>Year</t>
  </si>
  <si>
    <t>Track</t>
  </si>
  <si>
    <t>Phone No.</t>
  </si>
  <si>
    <t>Attendance</t>
  </si>
  <si>
    <t>HV2-2026-OCT-4698</t>
  </si>
  <si>
    <t>#HackNova</t>
  </si>
  <si>
    <t>Pasham Akanksha Reddy</t>
  </si>
  <si>
    <t>Leader</t>
  </si>
  <si>
    <t>Vignan Institute of Technology and Science</t>
  </si>
  <si>
    <t>AIDS</t>
  </si>
  <si>
    <t>1st Year</t>
  </si>
  <si>
    <t>Artificial Intelligence (AI)</t>
  </si>
  <si>
    <t>9652601387</t>
  </si>
  <si>
    <t>Srinivas Nayak Ramavath</t>
  </si>
  <si>
    <t>Member</t>
  </si>
  <si>
    <t>7680028395</t>
  </si>
  <si>
    <t>Pasham Hrithik Reddy</t>
  </si>
  <si>
    <t>8985540655</t>
  </si>
  <si>
    <t>HV2-2026-OCT-1818</t>
  </si>
  <si>
    <t>AI mavericks</t>
  </si>
  <si>
    <t>Vaggu Sahasra</t>
  </si>
  <si>
    <t>CSE (DS)</t>
  </si>
  <si>
    <t>2nd Year</t>
  </si>
  <si>
    <t>9908982106</t>
  </si>
  <si>
    <t>krupalini kasoju</t>
  </si>
  <si>
    <t>CIVIL</t>
  </si>
  <si>
    <t>9100326179</t>
  </si>
  <si>
    <t>Gangapuram Sai Charan</t>
  </si>
  <si>
    <t>MECH</t>
  </si>
  <si>
    <t>9666895769</t>
  </si>
  <si>
    <t>HV2-2026-OCT-1348</t>
  </si>
  <si>
    <t>AI-tians</t>
  </si>
  <si>
    <t>Mikkilineni Pravarshitha</t>
  </si>
  <si>
    <t>CSE (AI&amp;ML)</t>
  </si>
  <si>
    <t>8985359921</t>
  </si>
  <si>
    <t>P Pranathi</t>
  </si>
  <si>
    <t>9381261938</t>
  </si>
  <si>
    <t>SINGAM SAI HARSHITH</t>
  </si>
  <si>
    <t>7660042977</t>
  </si>
  <si>
    <t>HV2-2026-OCT-4899</t>
  </si>
  <si>
    <t>ARITRA</t>
  </si>
  <si>
    <t>Chathur M</t>
  </si>
  <si>
    <t>9291619080</t>
  </si>
  <si>
    <t>Vaahini G</t>
  </si>
  <si>
    <t>9391286222</t>
  </si>
  <si>
    <t>p sandeep</t>
  </si>
  <si>
    <t>3rd Year</t>
  </si>
  <si>
    <t>7093447407</t>
  </si>
  <si>
    <t>HV2-2026-OCT-4878</t>
  </si>
  <si>
    <t>Advitheeya</t>
  </si>
  <si>
    <t>Badugu Nigama</t>
  </si>
  <si>
    <t>7032177918</t>
  </si>
  <si>
    <t>Nakarakanti Yuva Keerthi</t>
  </si>
  <si>
    <t>8074382611</t>
  </si>
  <si>
    <t>Kan Kushi Kumari</t>
  </si>
  <si>
    <t>9490706546</t>
  </si>
  <si>
    <t>HV2-2026-OCT-4104</t>
  </si>
  <si>
    <t>Aevora</t>
  </si>
  <si>
    <t>Praseeja Sunkari</t>
  </si>
  <si>
    <t>7842731141</t>
  </si>
  <si>
    <t>Vanja Akshitha</t>
  </si>
  <si>
    <t>7569220914</t>
  </si>
  <si>
    <t>B.Vaishnavi</t>
  </si>
  <si>
    <t>7416127993</t>
  </si>
  <si>
    <t>HV2-2026-OCT-4906</t>
  </si>
  <si>
    <t>AiFinishers</t>
  </si>
  <si>
    <t>Badavath vishnu</t>
  </si>
  <si>
    <t>7396616379</t>
  </si>
  <si>
    <t>Boya mukesh</t>
  </si>
  <si>
    <t>7815858411</t>
  </si>
  <si>
    <t>Janga chandan</t>
  </si>
  <si>
    <t>8247030165</t>
  </si>
  <si>
    <t>HV2-2026-OCT-5358</t>
  </si>
  <si>
    <t>Al Avengers</t>
  </si>
  <si>
    <t>Sathu. Goutham Reddy</t>
  </si>
  <si>
    <t>9154184676</t>
  </si>
  <si>
    <t>Gudipelli. Manoj</t>
  </si>
  <si>
    <t>8179544286</t>
  </si>
  <si>
    <t>Kongari. Udayasree</t>
  </si>
  <si>
    <t>6303036707</t>
  </si>
  <si>
    <t>HV2-2026-OCT-4614</t>
  </si>
  <si>
    <t>Algo squad</t>
  </si>
  <si>
    <t>Poloju vasavi</t>
  </si>
  <si>
    <t>CSE</t>
  </si>
  <si>
    <t>9392793987</t>
  </si>
  <si>
    <t>Mohammad saniya</t>
  </si>
  <si>
    <t>9848364850</t>
  </si>
  <si>
    <t>Pittala harika</t>
  </si>
  <si>
    <t>6309460308</t>
  </si>
  <si>
    <t>HV2-2026-OCT-2695</t>
  </si>
  <si>
    <t>Alide</t>
  </si>
  <si>
    <t>Abhiram</t>
  </si>
  <si>
    <t>8008189293</t>
  </si>
  <si>
    <t>Mohammad Arif</t>
  </si>
  <si>
    <t>8074047607</t>
  </si>
  <si>
    <t>Sathish</t>
  </si>
  <si>
    <t>8712214574</t>
  </si>
  <si>
    <t>HV2-2026-OCT-7565</t>
  </si>
  <si>
    <t>All stars</t>
  </si>
  <si>
    <t>katakam supraja</t>
  </si>
  <si>
    <t>9490948538</t>
  </si>
  <si>
    <t>N.arun</t>
  </si>
  <si>
    <t>8639459203</t>
  </si>
  <si>
    <t>M ARAVIND</t>
  </si>
  <si>
    <t>6281094261</t>
  </si>
  <si>
    <t>HV2-2026-OCT-4338</t>
  </si>
  <si>
    <t>BLITZ</t>
  </si>
  <si>
    <t>Tejeshwar Reddy Addula</t>
  </si>
  <si>
    <t>7382838743</t>
  </si>
  <si>
    <t>Byreddy Sushank Reddy</t>
  </si>
  <si>
    <t>8332051480</t>
  </si>
  <si>
    <t>Chandaluri Sri Harsha</t>
  </si>
  <si>
    <t>9100865190</t>
  </si>
  <si>
    <t>HV2-2026-OCT-5946</t>
  </si>
  <si>
    <t>Bits x Bytes</t>
  </si>
  <si>
    <t>Neha Reddy K</t>
  </si>
  <si>
    <t>7093677995</t>
  </si>
  <si>
    <t>Koduri Sri Harsha</t>
  </si>
  <si>
    <t>9652867531</t>
  </si>
  <si>
    <t>I Sahasra</t>
  </si>
  <si>
    <t>9347883612</t>
  </si>
  <si>
    <t>HV2-2026-OCT-6520</t>
  </si>
  <si>
    <t>Black Pearl</t>
  </si>
  <si>
    <t>Danthenapally Srivarshitha</t>
  </si>
  <si>
    <t>CVR College of Engineering</t>
  </si>
  <si>
    <t>6309934781</t>
  </si>
  <si>
    <t>Gollapalli Chakradhar Chary</t>
  </si>
  <si>
    <t>Sri Venkateshwara College of Engineering</t>
  </si>
  <si>
    <t>7013280417</t>
  </si>
  <si>
    <t>Kota Uday Reddy</t>
  </si>
  <si>
    <t>9347004550</t>
  </si>
  <si>
    <t>HV2-2026-OCT-4594</t>
  </si>
  <si>
    <t>BoldCoders</t>
  </si>
  <si>
    <t>Kasoju SpuranChandra</t>
  </si>
  <si>
    <t>9515067709</t>
  </si>
  <si>
    <t>Maddineni Yashashwini</t>
  </si>
  <si>
    <t>7793963851</t>
  </si>
  <si>
    <t>Pothuganti Sonalika</t>
  </si>
  <si>
    <t>8332044969</t>
  </si>
  <si>
    <t>HV2-2026-OCT-3585</t>
  </si>
  <si>
    <t>BrainRot Brats</t>
  </si>
  <si>
    <t>Aasheerwad Sandhyapogu</t>
  </si>
  <si>
    <t>7702363562</t>
  </si>
  <si>
    <t>Vishal reddy</t>
  </si>
  <si>
    <t>9849019832</t>
  </si>
  <si>
    <t>Syed Omer</t>
  </si>
  <si>
    <t>7981537348</t>
  </si>
  <si>
    <t>HV2-2026-OCT-3629</t>
  </si>
  <si>
    <t>BroCode</t>
  </si>
  <si>
    <t>Varshini Bodige</t>
  </si>
  <si>
    <t>9182392386</t>
  </si>
  <si>
    <t>Harika Gummalla</t>
  </si>
  <si>
    <t>9121555751</t>
  </si>
  <si>
    <t>Kancharla Manish Kumar</t>
  </si>
  <si>
    <t>9948437820</t>
  </si>
  <si>
    <t>HV2-2026-OCT-4616</t>
  </si>
  <si>
    <t>Bug Slayers</t>
  </si>
  <si>
    <t>Padarthi Divya Sri</t>
  </si>
  <si>
    <t>ACE Engineering College</t>
  </si>
  <si>
    <t>9618719572</t>
  </si>
  <si>
    <t>Chirra Hasini</t>
  </si>
  <si>
    <t>8341223438</t>
  </si>
  <si>
    <t>Chamakura Yamini</t>
  </si>
  <si>
    <t>7989609328</t>
  </si>
  <si>
    <t>HV2-2026-OCT-9242</t>
  </si>
  <si>
    <t>Clause's Plan</t>
  </si>
  <si>
    <t>Sashreek Reddy</t>
  </si>
  <si>
    <t>9059949889</t>
  </si>
  <si>
    <t>Kanaparthy Aryan</t>
  </si>
  <si>
    <t>7416481279</t>
  </si>
  <si>
    <t>Sai Chandrakanth</t>
  </si>
  <si>
    <t>6281696284</t>
  </si>
  <si>
    <t>HV2-2026-OCT-9150</t>
  </si>
  <si>
    <t>Code &amp; Slay</t>
  </si>
  <si>
    <t>Anthati Ruthika</t>
  </si>
  <si>
    <t>9705884131</t>
  </si>
  <si>
    <t>Ithagoni Jyothsnasri</t>
  </si>
  <si>
    <t>9121954394</t>
  </si>
  <si>
    <t>Kusuru Divya</t>
  </si>
  <si>
    <t>9391433725</t>
  </si>
  <si>
    <t>HV2-2026-OCT-5745</t>
  </si>
  <si>
    <t>Code Blooded</t>
  </si>
  <si>
    <t>Yamini Thirumani</t>
  </si>
  <si>
    <t>G Narayanamma Institute of Technology and Science (GNITS)</t>
  </si>
  <si>
    <t>4th Year</t>
  </si>
  <si>
    <t>7995693895</t>
  </si>
  <si>
    <t>Puvvadi Sakhitha</t>
  </si>
  <si>
    <t>9398899334</t>
  </si>
  <si>
    <t>Harshitha Puliroju</t>
  </si>
  <si>
    <t>6305406660</t>
  </si>
  <si>
    <t>HV2-2026-OCT-6128</t>
  </si>
  <si>
    <t>Code cube</t>
  </si>
  <si>
    <t>Padakanti varsha</t>
  </si>
  <si>
    <t>6304218536</t>
  </si>
  <si>
    <t>Ubbu Rohini</t>
  </si>
  <si>
    <t>9603272908</t>
  </si>
  <si>
    <t>Palsam Maneesha</t>
  </si>
  <si>
    <t>9014710274</t>
  </si>
  <si>
    <t>HV2-2026-OCT-4305</t>
  </si>
  <si>
    <t>Code rush</t>
  </si>
  <si>
    <t>chegurisahasra21</t>
  </si>
  <si>
    <t>9573609225</t>
  </si>
  <si>
    <t>chegurisamaghna21</t>
  </si>
  <si>
    <t>9849747585</t>
  </si>
  <si>
    <t>shivaniappala</t>
  </si>
  <si>
    <t>6304128615</t>
  </si>
  <si>
    <t>HV2-2026-OCT-5660</t>
  </si>
  <si>
    <t>Code titans</t>
  </si>
  <si>
    <t>Chada Vaishnavi</t>
  </si>
  <si>
    <t>Marri Laxman Reddy Institute of Technology and Management (MLRITM)</t>
  </si>
  <si>
    <t>7702498268</t>
  </si>
  <si>
    <t>Akshitha Deshagoni</t>
  </si>
  <si>
    <t>9030380871</t>
  </si>
  <si>
    <t>Srividya Alubilli</t>
  </si>
  <si>
    <t>6281084832</t>
  </si>
  <si>
    <t>HV2-2026-OCT-9845</t>
  </si>
  <si>
    <t>Chindam Keerthana</t>
  </si>
  <si>
    <t>8179992289</t>
  </si>
  <si>
    <t>janipella sindhu</t>
  </si>
  <si>
    <t>9573376307</t>
  </si>
  <si>
    <t>tadaka akhila</t>
  </si>
  <si>
    <t>8688196471</t>
  </si>
  <si>
    <t>HV2-2026-OCT-8620</t>
  </si>
  <si>
    <t>Code × Crash</t>
  </si>
  <si>
    <t>Daroori Abhignya</t>
  </si>
  <si>
    <t>Vignan's Institute of Management and Technology for Women (VMTW)</t>
  </si>
  <si>
    <t>8247203142</t>
  </si>
  <si>
    <t>S.Ruchitha</t>
  </si>
  <si>
    <t>9866193388</t>
  </si>
  <si>
    <t>Tejaswi Pendyala</t>
  </si>
  <si>
    <t>9391281815</t>
  </si>
  <si>
    <t>HV2-2026-OCT-6582</t>
  </si>
  <si>
    <t>CodeAlpha</t>
  </si>
  <si>
    <t>Golconda Yeshwanth Kumar</t>
  </si>
  <si>
    <t>Anurag Engineering College (Kodad)</t>
  </si>
  <si>
    <t>7075320652</t>
  </si>
  <si>
    <t>Polepaka Mahesh</t>
  </si>
  <si>
    <t>7013197272</t>
  </si>
  <si>
    <t>Velpula Vyshali</t>
  </si>
  <si>
    <t>9542224334</t>
  </si>
  <si>
    <t>HV2-2026-OCT-5487</t>
  </si>
  <si>
    <t>CodeHelix</t>
  </si>
  <si>
    <t>G.Rishitha</t>
  </si>
  <si>
    <t>7997182157</t>
  </si>
  <si>
    <t>K.shirisha</t>
  </si>
  <si>
    <t>9652166330</t>
  </si>
  <si>
    <t>Gondi Soumya reddy</t>
  </si>
  <si>
    <t>9848546409</t>
  </si>
  <si>
    <t>HV2-2026-OCT-3917</t>
  </si>
  <si>
    <t>CodeMatriX</t>
  </si>
  <si>
    <t>Krishna Chaitanya Anugu</t>
  </si>
  <si>
    <t>7780401460</t>
  </si>
  <si>
    <t>Nandini Yarramada</t>
  </si>
  <si>
    <t>9063401449</t>
  </si>
  <si>
    <t>Ashna Reddy Gangapuram</t>
  </si>
  <si>
    <t>9393833639</t>
  </si>
  <si>
    <t>HV2-2026-OCT-1244</t>
  </si>
  <si>
    <t>CodeMind</t>
  </si>
  <si>
    <t>BHUDHALA MADHAVI</t>
  </si>
  <si>
    <t>8179752894</t>
  </si>
  <si>
    <t>KASULA AKSHAYA</t>
  </si>
  <si>
    <t>9032915256</t>
  </si>
  <si>
    <t>PREETHI BARADO</t>
  </si>
  <si>
    <t>9603554602</t>
  </si>
  <si>
    <t>HV2-2026-OCT-6039</t>
  </si>
  <si>
    <t>Codefusion</t>
  </si>
  <si>
    <t>SHIVANI KURMA</t>
  </si>
  <si>
    <t>9398471837</t>
  </si>
  <si>
    <t>Ch Karthik</t>
  </si>
  <si>
    <t>9493317442</t>
  </si>
  <si>
    <t>Shaik Momin</t>
  </si>
  <si>
    <t>9133153170</t>
  </si>
  <si>
    <t>HV2-2026-OCT-5283</t>
  </si>
  <si>
    <t>Coders</t>
  </si>
  <si>
    <t>Neelam Anjali</t>
  </si>
  <si>
    <t>KL University (KLH)</t>
  </si>
  <si>
    <t>9985859422</t>
  </si>
  <si>
    <t>Nikhil Mudigonda</t>
  </si>
  <si>
    <t>8341664756</t>
  </si>
  <si>
    <t>Srujana Sadhu</t>
  </si>
  <si>
    <t>9491516765</t>
  </si>
  <si>
    <t>HV2-2026-OCT-8480</t>
  </si>
  <si>
    <t>Coderush</t>
  </si>
  <si>
    <t>Erra Akshitha</t>
  </si>
  <si>
    <t>Sphoorthy Engineering College</t>
  </si>
  <si>
    <t>AI&amp;ML</t>
  </si>
  <si>
    <t>9441830190</t>
  </si>
  <si>
    <t>Varsha Mattaparthi</t>
  </si>
  <si>
    <t>7989068069</t>
  </si>
  <si>
    <t>Damaraju guru Lakshmi manasa</t>
  </si>
  <si>
    <t>Matrusri Engineering College</t>
  </si>
  <si>
    <t>IT</t>
  </si>
  <si>
    <t>6309804359</t>
  </si>
  <si>
    <t>HV2-2026-OCT-2455</t>
  </si>
  <si>
    <t>Codex</t>
  </si>
  <si>
    <t>Lingamgunta Pranav</t>
  </si>
  <si>
    <t>8179146995</t>
  </si>
  <si>
    <t>Abhivarun Bashapaka</t>
  </si>
  <si>
    <t>9515659290</t>
  </si>
  <si>
    <t>Shivashritej</t>
  </si>
  <si>
    <t>8179222881</t>
  </si>
  <si>
    <t>HV2-2026-OCT-5681</t>
  </si>
  <si>
    <t>KARIVEDA ABHINAV REDDY</t>
  </si>
  <si>
    <t>8985144115</t>
  </si>
  <si>
    <t>Kashamalla spandana</t>
  </si>
  <si>
    <t>9182364536</t>
  </si>
  <si>
    <t>Ulloju anitha</t>
  </si>
  <si>
    <t>9014367708</t>
  </si>
  <si>
    <t>HV2-2026-OCT-5738</t>
  </si>
  <si>
    <t>Codinjas</t>
  </si>
  <si>
    <t>POLE RAVITEJA</t>
  </si>
  <si>
    <t>Vardhaman College of Engineering</t>
  </si>
  <si>
    <t>7569057424</t>
  </si>
  <si>
    <t>Varahala Vishal</t>
  </si>
  <si>
    <t>VMEG</t>
  </si>
  <si>
    <t>ECE</t>
  </si>
  <si>
    <t>9701417442</t>
  </si>
  <si>
    <t>Yashraj Bhuvakar</t>
  </si>
  <si>
    <t>7386614171</t>
  </si>
  <si>
    <t>HV2-2026-OCT-3076</t>
  </si>
  <si>
    <t>Cognivyx</t>
  </si>
  <si>
    <t>Katkuri Lohitha</t>
  </si>
  <si>
    <t>7386202278</t>
  </si>
  <si>
    <t>Sravani Nomula</t>
  </si>
  <si>
    <t>9505472736</t>
  </si>
  <si>
    <t>Sowmya Patnam</t>
  </si>
  <si>
    <t>8374564428</t>
  </si>
  <si>
    <t>HV2-2026-OCT-3475</t>
  </si>
  <si>
    <t>Cold Start</t>
  </si>
  <si>
    <t>Bidarani Swathika</t>
  </si>
  <si>
    <t>8985668619</t>
  </si>
  <si>
    <t>Kannareddy Sriharini</t>
  </si>
  <si>
    <t>8978132468</t>
  </si>
  <si>
    <t>Sathuri Kavya</t>
  </si>
  <si>
    <t>9441082597</t>
  </si>
  <si>
    <t>HV2-2026-OCT-9141</t>
  </si>
  <si>
    <t>CoreX</t>
  </si>
  <si>
    <t>Kavya deepika</t>
  </si>
  <si>
    <t>9494880185</t>
  </si>
  <si>
    <t>Hemasri</t>
  </si>
  <si>
    <t>8125617760</t>
  </si>
  <si>
    <t>Lakshmi prassana</t>
  </si>
  <si>
    <t>9490082345</t>
  </si>
  <si>
    <t>HV2-2026-OCT-9608</t>
  </si>
  <si>
    <t>Cube.x</t>
  </si>
  <si>
    <t>MARAM KARTHIK REDDY</t>
  </si>
  <si>
    <t>8186971796</t>
  </si>
  <si>
    <t>ENDHURI RAGHU</t>
  </si>
  <si>
    <t>7093332320</t>
  </si>
  <si>
    <t>VADIKARI KALYAN</t>
  </si>
  <si>
    <t>6304255210</t>
  </si>
  <si>
    <t>HV2-2026-OCT-6405</t>
  </si>
  <si>
    <t>DATA HAMMERS</t>
  </si>
  <si>
    <t>NENAVATH RAM CHETAN NAYAK</t>
  </si>
  <si>
    <t>9182330474</t>
  </si>
  <si>
    <t>Bheemagani Sai Varshit Goud</t>
  </si>
  <si>
    <t>9381651962</t>
  </si>
  <si>
    <t>Palakurla Raghavendra Goud</t>
  </si>
  <si>
    <t>9059736124</t>
  </si>
  <si>
    <t>HV2-2026-OCT-5977</t>
  </si>
  <si>
    <t>DOMAIN EXPANSION</t>
  </si>
  <si>
    <t>Sudeepthi Chinnala</t>
  </si>
  <si>
    <t>Geethanjali College of Engineering and Technology</t>
  </si>
  <si>
    <t>8332881265</t>
  </si>
  <si>
    <t>Bandi Laxmi Deepak</t>
  </si>
  <si>
    <t>8247770962</t>
  </si>
  <si>
    <t>Pothuganti Samreen</t>
  </si>
  <si>
    <t>9182949562</t>
  </si>
  <si>
    <t>HV2-2026-OCT-2612</t>
  </si>
  <si>
    <t>Deep Learners</t>
  </si>
  <si>
    <t>VELURU SUPRITHA</t>
  </si>
  <si>
    <t>Srinivasa Ramanujan Institute of Technology</t>
  </si>
  <si>
    <t>8309609041</t>
  </si>
  <si>
    <t>C.V.VAISHNAVI</t>
  </si>
  <si>
    <t>7382695671</t>
  </si>
  <si>
    <t>C.SREEVIDYA REDDY</t>
  </si>
  <si>
    <t>6302517655</t>
  </si>
  <si>
    <t>HV2-2026-OCT-5266</t>
  </si>
  <si>
    <t>DeepSpark</t>
  </si>
  <si>
    <t>Pininti Sandeep Reddy</t>
  </si>
  <si>
    <t>9059340657</t>
  </si>
  <si>
    <t>Salivoju Shashikiran</t>
  </si>
  <si>
    <t>8341620419</t>
  </si>
  <si>
    <t>Amireddy Ram charan Reddy</t>
  </si>
  <si>
    <t>8074820329</t>
  </si>
  <si>
    <t>HV2-2026-OCT-4965</t>
  </si>
  <si>
    <t>ELITEX</t>
  </si>
  <si>
    <t>POOJITH GOVINDARAJULA</t>
  </si>
  <si>
    <t>8555928347</t>
  </si>
  <si>
    <t>MUTHYALA ANANYA</t>
  </si>
  <si>
    <t>8919338676</t>
  </si>
  <si>
    <t>ABHIRAAM AERUKONDA</t>
  </si>
  <si>
    <t>8985237853</t>
  </si>
  <si>
    <t>HV2-2026-OCT-6598</t>
  </si>
  <si>
    <t>Echo</t>
  </si>
  <si>
    <t>M. Samuel Justin</t>
  </si>
  <si>
    <t>8134127379</t>
  </si>
  <si>
    <t>K.Siddharth</t>
  </si>
  <si>
    <t>9505437046</t>
  </si>
  <si>
    <t>M. Akshay Varshith</t>
  </si>
  <si>
    <t>8885002067</t>
  </si>
  <si>
    <t>HV2-2026-OCT-3027</t>
  </si>
  <si>
    <t>Elysia</t>
  </si>
  <si>
    <t>Pravalika Umaji</t>
  </si>
  <si>
    <t>9391375254</t>
  </si>
  <si>
    <t>Soma Sai Vaishnavi</t>
  </si>
  <si>
    <t>7093625197</t>
  </si>
  <si>
    <t>Keerthi Reddy</t>
  </si>
  <si>
    <t>Maturi Venkata Subba Rao Engineering College (MVSR)</t>
  </si>
  <si>
    <t>9495989999</t>
  </si>
  <si>
    <t>HV2-2026-OCT-8093</t>
  </si>
  <si>
    <t>Future stack</t>
  </si>
  <si>
    <t>Jeshwanth Sura</t>
  </si>
  <si>
    <t>9398020156</t>
  </si>
  <si>
    <t>Tharun Pandugula</t>
  </si>
  <si>
    <t>7981767311</t>
  </si>
  <si>
    <t>Santhosh Revalli</t>
  </si>
  <si>
    <t>9989570190</t>
  </si>
  <si>
    <t>HV2-2026-OCT-8971</t>
  </si>
  <si>
    <t>GradientX</t>
  </si>
  <si>
    <t>KASULA NANDA RAMESH</t>
  </si>
  <si>
    <t>7232888276</t>
  </si>
  <si>
    <t>Dahagama Sreeshanth</t>
  </si>
  <si>
    <t>9381501331</t>
  </si>
  <si>
    <t>Anunay Anumasa</t>
  </si>
  <si>
    <t>7659932027</t>
  </si>
  <si>
    <t>HV2-2026-OCT-7433</t>
  </si>
  <si>
    <t>HACK HUSTLERS</t>
  </si>
  <si>
    <t>MD ISMAIL ANSARI</t>
  </si>
  <si>
    <t>Vignan's Foundation for Science, Technology &amp; Research (Vignan University)</t>
  </si>
  <si>
    <t>8235520824</t>
  </si>
  <si>
    <t>A Lucky</t>
  </si>
  <si>
    <t>8309838926</t>
  </si>
  <si>
    <t>K.Chethan</t>
  </si>
  <si>
    <t>7601006224</t>
  </si>
  <si>
    <t>HV2-2026-OCT-8871</t>
  </si>
  <si>
    <t>Hack Elite</t>
  </si>
  <si>
    <t>Vulli Mokshasri</t>
  </si>
  <si>
    <t>9182549412</t>
  </si>
  <si>
    <t>Bandela Shriya</t>
  </si>
  <si>
    <t>8341714544</t>
  </si>
  <si>
    <t>Bhoomika Podduturi</t>
  </si>
  <si>
    <t>7989485147</t>
  </si>
  <si>
    <t>HV2-2026-OCT-4572</t>
  </si>
  <si>
    <t>Hack Hive</t>
  </si>
  <si>
    <t>Lavanam Hansika</t>
  </si>
  <si>
    <t>7995654961</t>
  </si>
  <si>
    <t>Ariba Naaz</t>
  </si>
  <si>
    <t>9110579227</t>
  </si>
  <si>
    <t>Sirishala Ganesh</t>
  </si>
  <si>
    <t>9392160482</t>
  </si>
  <si>
    <t>HV2-2026-OCT-3356</t>
  </si>
  <si>
    <t>Hack Terminators</t>
  </si>
  <si>
    <t>Patil.RamyaSri</t>
  </si>
  <si>
    <t>8341507702</t>
  </si>
  <si>
    <t>Singireddy.Siri</t>
  </si>
  <si>
    <t>7386864751</t>
  </si>
  <si>
    <t>Yellanki.Sirivennela</t>
  </si>
  <si>
    <t>7095891137</t>
  </si>
  <si>
    <t>HV2-2026-OCT-8826</t>
  </si>
  <si>
    <t>Hack Titans</t>
  </si>
  <si>
    <t>Miryala Akshitha</t>
  </si>
  <si>
    <t>9000528288</t>
  </si>
  <si>
    <t>Donuru spoorthi</t>
  </si>
  <si>
    <t>8332864311</t>
  </si>
  <si>
    <t>Surakanti Sowmya</t>
  </si>
  <si>
    <t>7569280623</t>
  </si>
  <si>
    <t>HV2-2026-OCT-5593</t>
  </si>
  <si>
    <t>HackBuddies</t>
  </si>
  <si>
    <t>Valleti Bhuvana</t>
  </si>
  <si>
    <t>9701430714</t>
  </si>
  <si>
    <t>Vemparala Jyothika</t>
  </si>
  <si>
    <t>9848136515</t>
  </si>
  <si>
    <t>Jarupula Sneha</t>
  </si>
  <si>
    <t>8897506943</t>
  </si>
  <si>
    <t>HV2-2026-OCT-1722</t>
  </si>
  <si>
    <t>HackForge</t>
  </si>
  <si>
    <t>Jasmitha Kuppala</t>
  </si>
  <si>
    <t>9395543838</t>
  </si>
  <si>
    <t>Gayathri Gorugantula</t>
  </si>
  <si>
    <t>7993920531</t>
  </si>
  <si>
    <t>Vuppala Rithvik</t>
  </si>
  <si>
    <t>7675054385</t>
  </si>
  <si>
    <t>HV2-2026-OCT-6350</t>
  </si>
  <si>
    <t>Hackfusion</t>
  </si>
  <si>
    <t>Bathini Tulasi</t>
  </si>
  <si>
    <t>9014711657</t>
  </si>
  <si>
    <t>Bathini Shravani</t>
  </si>
  <si>
    <t>BVRW</t>
  </si>
  <si>
    <t>7993837212</t>
  </si>
  <si>
    <t>Udugula Bhavani</t>
  </si>
  <si>
    <t>8179217915</t>
  </si>
  <si>
    <t>HV2-2026-OCT-4497</t>
  </si>
  <si>
    <t>Hackhive</t>
  </si>
  <si>
    <t>M. Sai Rishitha</t>
  </si>
  <si>
    <t>8179722970</t>
  </si>
  <si>
    <t>N.Harini</t>
  </si>
  <si>
    <t>7075533909</t>
  </si>
  <si>
    <t>V. Akshaya</t>
  </si>
  <si>
    <t>8978346652</t>
  </si>
  <si>
    <t>HV2-2026-OCT-5005</t>
  </si>
  <si>
    <t>Hacknova</t>
  </si>
  <si>
    <t>Varshini Marthy</t>
  </si>
  <si>
    <t>Bhoj Reddy Engineering College for Women</t>
  </si>
  <si>
    <t>7671819408</t>
  </si>
  <si>
    <t>Gayathri Methuku</t>
  </si>
  <si>
    <t>9032388119</t>
  </si>
  <si>
    <t>Soumya Jakkulwar</t>
  </si>
  <si>
    <t>8179569930</t>
  </si>
  <si>
    <t>HV2-2026-OCT-8157</t>
  </si>
  <si>
    <t>Hexora</t>
  </si>
  <si>
    <t>Gundampalli Pranatheeshwari</t>
  </si>
  <si>
    <t>7013761303</t>
  </si>
  <si>
    <t>Vokkerla Anushna</t>
  </si>
  <si>
    <t>9392265252</t>
  </si>
  <si>
    <t>Yendapalli Devayani</t>
  </si>
  <si>
    <t>8639937320</t>
  </si>
  <si>
    <t>HV2-2026-OCT-5294</t>
  </si>
  <si>
    <t>Idea Crew</t>
  </si>
  <si>
    <t>Kaja Naga Sai Neha</t>
  </si>
  <si>
    <t>7675050483</t>
  </si>
  <si>
    <t>Murki Rishika</t>
  </si>
  <si>
    <t>9063644384</t>
  </si>
  <si>
    <t>Chirra Harshini</t>
  </si>
  <si>
    <t>9704223438</t>
  </si>
  <si>
    <t>HV2-2026-OCT-1749</t>
  </si>
  <si>
    <t>ImpactNexus</t>
  </si>
  <si>
    <t>Dharavath Santhosh</t>
  </si>
  <si>
    <t>8897747716</t>
  </si>
  <si>
    <t>Sura Rithwika</t>
  </si>
  <si>
    <t>9281416550</t>
  </si>
  <si>
    <t>Chinavath Maheshwari</t>
  </si>
  <si>
    <t>8523872380</t>
  </si>
  <si>
    <t>HV2-2026-OCT-5333</t>
  </si>
  <si>
    <t>Infinite loopers</t>
  </si>
  <si>
    <t>Varshitha</t>
  </si>
  <si>
    <t>8341738479</t>
  </si>
  <si>
    <t>Renusri</t>
  </si>
  <si>
    <t>7893409216</t>
  </si>
  <si>
    <t>Siri</t>
  </si>
  <si>
    <t>9652029595</t>
  </si>
  <si>
    <t>HV2-2026-OCT-3907</t>
  </si>
  <si>
    <t>Infinity cxders</t>
  </si>
  <si>
    <t>Yerra Hemanth Reddy</t>
  </si>
  <si>
    <t>Nalla Narasimha Reddy Group of Institutions (NNRG)</t>
  </si>
  <si>
    <t>8919233514</t>
  </si>
  <si>
    <t>K . Nikhil</t>
  </si>
  <si>
    <t>7993529040</t>
  </si>
  <si>
    <t>Chityala Divyansh</t>
  </si>
  <si>
    <t>8328212216</t>
  </si>
  <si>
    <t>HV2-2026-OCT-7473</t>
  </si>
  <si>
    <t>Innovexa</t>
  </si>
  <si>
    <t>Battini Navya Sri</t>
  </si>
  <si>
    <t>8519890464</t>
  </si>
  <si>
    <t>Gummuluri Durga Priyanka</t>
  </si>
  <si>
    <t>8074218415</t>
  </si>
  <si>
    <t>Pullemla Akshara Krupa</t>
  </si>
  <si>
    <t>9989260349</t>
  </si>
  <si>
    <t>HV2-2026-OCT-9134</t>
  </si>
  <si>
    <t>Ananthala Sanjana</t>
  </si>
  <si>
    <t>7032614095</t>
  </si>
  <si>
    <t>Chimmula Akshitha</t>
  </si>
  <si>
    <t>9912931952</t>
  </si>
  <si>
    <t>Ganji Shivani</t>
  </si>
  <si>
    <t>7386765948</t>
  </si>
  <si>
    <t>HV2-2026-OCT-1817</t>
  </si>
  <si>
    <t>Innovix</t>
  </si>
  <si>
    <t>Pooja Madhuri Danduprolu</t>
  </si>
  <si>
    <t>V.S.M College of Engineering</t>
  </si>
  <si>
    <t>6301332400</t>
  </si>
  <si>
    <t>B. Veera durgasri</t>
  </si>
  <si>
    <t>7396764088</t>
  </si>
  <si>
    <t>Ch.Haripriya</t>
  </si>
  <si>
    <t>7780480106</t>
  </si>
  <si>
    <t>HV2-2026-OCT-2772</t>
  </si>
  <si>
    <t>Jarvis</t>
  </si>
  <si>
    <t>Grishmitha Yarlagadda</t>
  </si>
  <si>
    <t>CMR Institute of Technology</t>
  </si>
  <si>
    <t>7416365949</t>
  </si>
  <si>
    <t>Gouni Druthi</t>
  </si>
  <si>
    <t>8008803379</t>
  </si>
  <si>
    <t>Dellapurlolu Sai Kiran</t>
  </si>
  <si>
    <t>9346098128</t>
  </si>
  <si>
    <t>HV2-2026-OCT-9662</t>
  </si>
  <si>
    <t>KANYA RASHI</t>
  </si>
  <si>
    <t>RAJKUMAR MANEM</t>
  </si>
  <si>
    <t>9392567033</t>
  </si>
  <si>
    <t>CHILUVERU ADITHYA</t>
  </si>
  <si>
    <t>9640901192</t>
  </si>
  <si>
    <t>RAMPALLI KOUSHIK</t>
  </si>
  <si>
    <t>6300500804</t>
  </si>
  <si>
    <t>HV2-2026-OCT-8023</t>
  </si>
  <si>
    <t>KODERA</t>
  </si>
  <si>
    <t>Akshara Boddoju</t>
  </si>
  <si>
    <t>Stanley Engineering College</t>
  </si>
  <si>
    <t>8555945464</t>
  </si>
  <si>
    <t>Adepu shiva kumar</t>
  </si>
  <si>
    <t>DRK Institute of Science and Technology</t>
  </si>
  <si>
    <t>7569918817</t>
  </si>
  <si>
    <t>Garikapati kundana</t>
  </si>
  <si>
    <t>8919745409</t>
  </si>
  <si>
    <t>HV2-2026-OCT-9403</t>
  </si>
  <si>
    <t>Kairos</t>
  </si>
  <si>
    <t>Sankarapu Kausalya</t>
  </si>
  <si>
    <t>8555946421</t>
  </si>
  <si>
    <t>Valishetti Himabindhu</t>
  </si>
  <si>
    <t>9346713791</t>
  </si>
  <si>
    <t>Saika Kolluri</t>
  </si>
  <si>
    <t>Holy Mary Institute of Technology and Science</t>
  </si>
  <si>
    <t>8790840903</t>
  </si>
  <si>
    <t>HV2-2026-OCT-2217</t>
  </si>
  <si>
    <t>Kanya Rasi</t>
  </si>
  <si>
    <t>Sneha Nomula</t>
  </si>
  <si>
    <t>9381130962</t>
  </si>
  <si>
    <t>Vennamaneni Harshini</t>
  </si>
  <si>
    <t>8639144995</t>
  </si>
  <si>
    <t>Tallapally Manognya</t>
  </si>
  <si>
    <t>9154508984</t>
  </si>
  <si>
    <t>HV2-2026-OCT-9308</t>
  </si>
  <si>
    <t>Kanyarasi</t>
  </si>
  <si>
    <t>Dhanush</t>
  </si>
  <si>
    <t>7901499699</t>
  </si>
  <si>
    <t>Ashritha M</t>
  </si>
  <si>
    <t>8985889036</t>
  </si>
  <si>
    <t>Narotham</t>
  </si>
  <si>
    <t>9346960067</t>
  </si>
  <si>
    <t>HV2-2026-OCT-4737</t>
  </si>
  <si>
    <t>Koderz</t>
  </si>
  <si>
    <t>Pulamoni Naveen</t>
  </si>
  <si>
    <t>7013885070</t>
  </si>
  <si>
    <t>G. Koushik</t>
  </si>
  <si>
    <t>9515857811</t>
  </si>
  <si>
    <t>rebelli ashok</t>
  </si>
  <si>
    <t>8919591926</t>
  </si>
  <si>
    <t>HV2-2026-OCT-7335</t>
  </si>
  <si>
    <t>Logic Crafters</t>
  </si>
  <si>
    <t>Ravula Koushik Reddy</t>
  </si>
  <si>
    <t>9948408216</t>
  </si>
  <si>
    <t>Guduru Revanth Reddy</t>
  </si>
  <si>
    <t>8885690661</t>
  </si>
  <si>
    <t>Jagaraspalli Arshad mohammad</t>
  </si>
  <si>
    <t>9640625522</t>
  </si>
  <si>
    <t>HV2-2026-OCT-2149</t>
  </si>
  <si>
    <t>MNV</t>
  </si>
  <si>
    <t>SAATU NAVYA</t>
  </si>
  <si>
    <t>9912390007</t>
  </si>
  <si>
    <t>SANDHI MOUNIKA</t>
  </si>
  <si>
    <t>9063598811</t>
  </si>
  <si>
    <t>MACHANAPALLY VISHAL GOUD</t>
  </si>
  <si>
    <t>9182832455</t>
  </si>
  <si>
    <t>HV2-2026-OCT-5585</t>
  </si>
  <si>
    <t>Mind Mesh</t>
  </si>
  <si>
    <t>Sadwik Bussala</t>
  </si>
  <si>
    <t>9676439097</t>
  </si>
  <si>
    <t>Alugubelli Lokesh Reddy</t>
  </si>
  <si>
    <t>7670985522</t>
  </si>
  <si>
    <t>Sanjay Reddy Adulla</t>
  </si>
  <si>
    <t>9182435905</t>
  </si>
  <si>
    <t>HV2-2026-OCT-1845</t>
  </si>
  <si>
    <t>NEXVION</t>
  </si>
  <si>
    <t>Abbendha lokesh chandra</t>
  </si>
  <si>
    <t>7993062038</t>
  </si>
  <si>
    <t>Sukanti manasa</t>
  </si>
  <si>
    <t>9989384694</t>
  </si>
  <si>
    <t>Palle Jaswanth reddy</t>
  </si>
  <si>
    <t>7093931689</t>
  </si>
  <si>
    <t>HV2-2026-OCT-2443</t>
  </si>
  <si>
    <t>Namkeen</t>
  </si>
  <si>
    <t>A.Navatej</t>
  </si>
  <si>
    <t>7569086727</t>
  </si>
  <si>
    <t>U.Khageswararao</t>
  </si>
  <si>
    <t>9110504494</t>
  </si>
  <si>
    <t>Ch.Mahaveer</t>
  </si>
  <si>
    <t>8008255141</t>
  </si>
  <si>
    <t>HV2-2026-OCT-1024</t>
  </si>
  <si>
    <t>Nanoneurons</t>
  </si>
  <si>
    <t>Kunchala kavya</t>
  </si>
  <si>
    <t>9542222197</t>
  </si>
  <si>
    <t>Kunchala chethana priya</t>
  </si>
  <si>
    <t>Ellenki College of Engineering and Technology</t>
  </si>
  <si>
    <t>9542222199</t>
  </si>
  <si>
    <t>Gajula Abhiram</t>
  </si>
  <si>
    <t>JNTU Hyderabad</t>
  </si>
  <si>
    <t>Postgraduate</t>
  </si>
  <si>
    <t>8688226299</t>
  </si>
  <si>
    <t>HV2-2026-OCT-9119</t>
  </si>
  <si>
    <t>Nerd coders</t>
  </si>
  <si>
    <t>Myle Tejaswini</t>
  </si>
  <si>
    <t>8247722834</t>
  </si>
  <si>
    <t>Mrudula Nalabothu</t>
  </si>
  <si>
    <t>9398756567</t>
  </si>
  <si>
    <t>Chidimillasruthiswaraj</t>
  </si>
  <si>
    <t>8121648699</t>
  </si>
  <si>
    <t>HV2-2026-OCT-1575</t>
  </si>
  <si>
    <t>Neural Grid</t>
  </si>
  <si>
    <t>KARRE AMRITHA KUMAR</t>
  </si>
  <si>
    <t>9849999234</t>
  </si>
  <si>
    <t>DONTHULA AKSHARA</t>
  </si>
  <si>
    <t>9987128598</t>
  </si>
  <si>
    <t>DHULAM ARAVIND</t>
  </si>
  <si>
    <t>6300298946</t>
  </si>
  <si>
    <t>HV2-2026-OCT-1144</t>
  </si>
  <si>
    <t>Neural Ninjas</t>
  </si>
  <si>
    <t>Sathwika Hanumanthula</t>
  </si>
  <si>
    <t>7386382512</t>
  </si>
  <si>
    <t>Anna Srija</t>
  </si>
  <si>
    <t>7601092610</t>
  </si>
  <si>
    <t>P Sai Geethika</t>
  </si>
  <si>
    <t>8639931455</t>
  </si>
  <si>
    <t>HV2-2026-OCT-5098</t>
  </si>
  <si>
    <t>Neural_Nomads</t>
  </si>
  <si>
    <t>Amruthasri Burra</t>
  </si>
  <si>
    <t>8790723583</t>
  </si>
  <si>
    <t>Hansika Amilpur</t>
  </si>
  <si>
    <t>9059208072</t>
  </si>
  <si>
    <t>Saniya Shaik</t>
  </si>
  <si>
    <t>8106187274</t>
  </si>
  <si>
    <t>HV2-2026-OCT-3150</t>
  </si>
  <si>
    <t>NexAI</t>
  </si>
  <si>
    <t>Jyothi sri</t>
  </si>
  <si>
    <t>9391320303</t>
  </si>
  <si>
    <t>Srihasini</t>
  </si>
  <si>
    <t>8978984011</t>
  </si>
  <si>
    <t>Smruthika</t>
  </si>
  <si>
    <t>9441093660</t>
  </si>
  <si>
    <t>HV2-2026-OCT-9522</t>
  </si>
  <si>
    <t>NexAi</t>
  </si>
  <si>
    <t>Singabhat Lahari</t>
  </si>
  <si>
    <t>7416163634</t>
  </si>
  <si>
    <t>Chilimikoti Dhikshitha</t>
  </si>
  <si>
    <t>8885293880</t>
  </si>
  <si>
    <t>Tokala Sai Amulya Reddy</t>
  </si>
  <si>
    <t>9640749689</t>
  </si>
  <si>
    <t>HV2-2026-OCT-7226</t>
  </si>
  <si>
    <t>NexGen Minds</t>
  </si>
  <si>
    <t>Uppalapati Varshini</t>
  </si>
  <si>
    <t>7032821892</t>
  </si>
  <si>
    <t>Yeddula Rohith Reddy</t>
  </si>
  <si>
    <t>6303283747</t>
  </si>
  <si>
    <t>Aredla Dileep Reddy</t>
  </si>
  <si>
    <t>6303868419</t>
  </si>
  <si>
    <t>HV2-2026-OCT-3847</t>
  </si>
  <si>
    <t>Nexivo</t>
  </si>
  <si>
    <t>Y.Srujana</t>
  </si>
  <si>
    <t>8106392833</t>
  </si>
  <si>
    <t>Sana Nousheen</t>
  </si>
  <si>
    <t>8978749992</t>
  </si>
  <si>
    <t>Vanguri Deepika</t>
  </si>
  <si>
    <t>8096433999</t>
  </si>
  <si>
    <t>HV2-2026-OCT-2657</t>
  </si>
  <si>
    <t>Nexora</t>
  </si>
  <si>
    <t>Edarapalli Naren</t>
  </si>
  <si>
    <t>SCSVMV University</t>
  </si>
  <si>
    <t>6303737948</t>
  </si>
  <si>
    <t>S.Monitha</t>
  </si>
  <si>
    <t>Aditya Degree College, Palakol</t>
  </si>
  <si>
    <t>BCA</t>
  </si>
  <si>
    <t>9959233147</t>
  </si>
  <si>
    <t>Maddala Sushmitha</t>
  </si>
  <si>
    <t>Vishnu College, Bhimavaram</t>
  </si>
  <si>
    <t>9346426326</t>
  </si>
  <si>
    <t>HV2-2026-OCT-2944</t>
  </si>
  <si>
    <t>DAMA Akshitha</t>
  </si>
  <si>
    <t>7989774381</t>
  </si>
  <si>
    <t>M.Bhavana netha</t>
  </si>
  <si>
    <t>7893219279</t>
  </si>
  <si>
    <t>A.Navitha</t>
  </si>
  <si>
    <t>6303296272</t>
  </si>
  <si>
    <t>HV2-2026-OCT-4967</t>
  </si>
  <si>
    <t>A.Anji</t>
  </si>
  <si>
    <t>Sri Chaitanya Technical Campus</t>
  </si>
  <si>
    <t>8121481089</t>
  </si>
  <si>
    <t>Pagadala Sridevi</t>
  </si>
  <si>
    <t>7075042447</t>
  </si>
  <si>
    <t>B.Pooja</t>
  </si>
  <si>
    <t>9573857246</t>
  </si>
  <si>
    <t>HV2-2026-OCT-6888</t>
  </si>
  <si>
    <t>bindu enugula</t>
  </si>
  <si>
    <t>9052628633</t>
  </si>
  <si>
    <t>Niveditha Kukunoori</t>
  </si>
  <si>
    <t>9676175782</t>
  </si>
  <si>
    <t>Raveena Sarikonda</t>
  </si>
  <si>
    <t>8985579450</t>
  </si>
  <si>
    <t>HV2-2026-OCT-8532</t>
  </si>
  <si>
    <t>Nexora AI</t>
  </si>
  <si>
    <t>Ranga Pranathi</t>
  </si>
  <si>
    <t>9866812154</t>
  </si>
  <si>
    <t>Cheruku Amisha</t>
  </si>
  <si>
    <t>9676922849</t>
  </si>
  <si>
    <t>Dudigama Shivani</t>
  </si>
  <si>
    <t>7337444539</t>
  </si>
  <si>
    <t>HV2-2026-OCT-6051</t>
  </si>
  <si>
    <t>Nexus</t>
  </si>
  <si>
    <t>Anuj Arun Kumar</t>
  </si>
  <si>
    <t>7093224401</t>
  </si>
  <si>
    <t>Ramtenki abhinay</t>
  </si>
  <si>
    <t>8712528025</t>
  </si>
  <si>
    <t>Kandadi Shiva charan Reddy</t>
  </si>
  <si>
    <t>9849231504</t>
  </si>
  <si>
    <t>HV2-2026-OCT-8089</t>
  </si>
  <si>
    <t>Pratigya Singh</t>
  </si>
  <si>
    <t>7989564372</t>
  </si>
  <si>
    <t>Hemanth Nirmal.A</t>
  </si>
  <si>
    <t>7702172072</t>
  </si>
  <si>
    <t>Nirmal tej reddy.P</t>
  </si>
  <si>
    <t>7075289087</t>
  </si>
  <si>
    <t>HV2-2026-OCT-8112</t>
  </si>
  <si>
    <t>Bodi Sai Anirudh</t>
  </si>
  <si>
    <t>6303167158</t>
  </si>
  <si>
    <t>Yadagani Sharanya</t>
  </si>
  <si>
    <t>7780221108</t>
  </si>
  <si>
    <t>Sri Hasini Lella</t>
  </si>
  <si>
    <t>7981295175</t>
  </si>
  <si>
    <t>HV2-2026-OCT-7589</t>
  </si>
  <si>
    <t>Nexuscoders</t>
  </si>
  <si>
    <t>Jival Sai Rama Gonuguntla</t>
  </si>
  <si>
    <t>9182955334</t>
  </si>
  <si>
    <t>Varshith vuppula</t>
  </si>
  <si>
    <t>7842777804</t>
  </si>
  <si>
    <t>Anshul</t>
  </si>
  <si>
    <t>9642174414</t>
  </si>
  <si>
    <t>HV2-2026-OCT-4754</t>
  </si>
  <si>
    <t>Nxt gen coders</t>
  </si>
  <si>
    <t>Polagoni Ruchy Ram</t>
  </si>
  <si>
    <t>8897478377</t>
  </si>
  <si>
    <t>Gajjela Maneesh</t>
  </si>
  <si>
    <t>7799179909</t>
  </si>
  <si>
    <t>Mohd Akmal</t>
  </si>
  <si>
    <t>8639183519</t>
  </si>
  <si>
    <t>HV2-2026-OCT-2292</t>
  </si>
  <si>
    <t>OneDirection</t>
  </si>
  <si>
    <t>Venkat Vivek</t>
  </si>
  <si>
    <t>9701543137</t>
  </si>
  <si>
    <t>Maharshi Karthik</t>
  </si>
  <si>
    <t>7981367290</t>
  </si>
  <si>
    <t>Siddharth</t>
  </si>
  <si>
    <t>6304783844</t>
  </si>
  <si>
    <t>HV2-2026-OCT-6464</t>
  </si>
  <si>
    <t>Origin</t>
  </si>
  <si>
    <t>Kadali Rakshith Satya Sai</t>
  </si>
  <si>
    <t>8125015031</t>
  </si>
  <si>
    <t>Kambhampati Sai Mohanth</t>
  </si>
  <si>
    <t>9160982448</t>
  </si>
  <si>
    <t>Komirelli Karthik Reddy</t>
  </si>
  <si>
    <t>7207728842</t>
  </si>
  <si>
    <t>HV2-2026-OCT-1500</t>
  </si>
  <si>
    <t>POWER HOUSE</t>
  </si>
  <si>
    <t>AJAY KUMAR</t>
  </si>
  <si>
    <t>7396634983</t>
  </si>
  <si>
    <t>SHIVA KUMAR</t>
  </si>
  <si>
    <t>8790552332</t>
  </si>
  <si>
    <t>SRIDHAR</t>
  </si>
  <si>
    <t>9703790107</t>
  </si>
  <si>
    <t>HV2-2026-OCT-7696</t>
  </si>
  <si>
    <t>ParadAIse</t>
  </si>
  <si>
    <t>Sreshta Dravidam</t>
  </si>
  <si>
    <t>9908352052</t>
  </si>
  <si>
    <t>Kalappagari Sai Abhiram</t>
  </si>
  <si>
    <t>6304586235</t>
  </si>
  <si>
    <t>Moukthika Arerapu</t>
  </si>
  <si>
    <t>9959167896</t>
  </si>
  <si>
    <t>HV2-2026-OCT-6074</t>
  </si>
  <si>
    <t>Parallel minds</t>
  </si>
  <si>
    <t>Poojitha Padamata</t>
  </si>
  <si>
    <t>7386395944</t>
  </si>
  <si>
    <t>Swetha Erukala</t>
  </si>
  <si>
    <t>9951458854</t>
  </si>
  <si>
    <t>Bhavani Errajelli</t>
  </si>
  <si>
    <t>8142455081</t>
  </si>
  <si>
    <t>HV2-2026-OCT-4707</t>
  </si>
  <si>
    <t>Pluto</t>
  </si>
  <si>
    <t>TELU CHANDRA SHEKHAR RAO</t>
  </si>
  <si>
    <t>6302511789</t>
  </si>
  <si>
    <t>Sk zainab hussain</t>
  </si>
  <si>
    <t>8019607278</t>
  </si>
  <si>
    <t>P. Meghana</t>
  </si>
  <si>
    <t>7330693136</t>
  </si>
  <si>
    <t>HV2-2026-OCT-7474</t>
  </si>
  <si>
    <t>Prism</t>
  </si>
  <si>
    <t>Katam Hasini</t>
  </si>
  <si>
    <t>6309405736</t>
  </si>
  <si>
    <t>Jetti Poojitha</t>
  </si>
  <si>
    <t>9392827978</t>
  </si>
  <si>
    <t>Koya Sunaina Raisy</t>
  </si>
  <si>
    <t>6302419860</t>
  </si>
  <si>
    <t>HV2-2026-OCT-8068</t>
  </si>
  <si>
    <t>Quantivex</t>
  </si>
  <si>
    <t>Thota Siddarth</t>
  </si>
  <si>
    <t>Keshav Memorial Institute of Technology (KMIT)</t>
  </si>
  <si>
    <t>8096261001</t>
  </si>
  <si>
    <t>Matta Ashitha</t>
  </si>
  <si>
    <t>6309974515</t>
  </si>
  <si>
    <t>Arvapally Nayana Sri</t>
  </si>
  <si>
    <t>9392066355</t>
  </si>
  <si>
    <t>HV2-2026-OCT-2350</t>
  </si>
  <si>
    <t>Quantum Leap</t>
  </si>
  <si>
    <t>Loudya Sathish</t>
  </si>
  <si>
    <t>9390451053</t>
  </si>
  <si>
    <t>Nunavath pawan Kalyan</t>
  </si>
  <si>
    <t>7780313743</t>
  </si>
  <si>
    <t>Mandireddy  Varshitha</t>
  </si>
  <si>
    <t>9494469572</t>
  </si>
  <si>
    <t>HV2-2026-OCT-6702</t>
  </si>
  <si>
    <t>Ragnar</t>
  </si>
  <si>
    <t>Sreeraj Thalappalli</t>
  </si>
  <si>
    <t>Golden Gate University</t>
  </si>
  <si>
    <t>7306221632</t>
  </si>
  <si>
    <t>Atharva Malgatti</t>
  </si>
  <si>
    <t>9322380971</t>
  </si>
  <si>
    <t>Naqhi Niazi</t>
  </si>
  <si>
    <t>7021677094</t>
  </si>
  <si>
    <t>HV2-2026-OCT-4940</t>
  </si>
  <si>
    <t>Random</t>
  </si>
  <si>
    <t>Vaibhav patel</t>
  </si>
  <si>
    <t>7661078858</t>
  </si>
  <si>
    <t>Haraha setti</t>
  </si>
  <si>
    <t>9515716982</t>
  </si>
  <si>
    <t>Pramod</t>
  </si>
  <si>
    <t>8978306402</t>
  </si>
  <si>
    <t>HV2-2026-OCT-7592</t>
  </si>
  <si>
    <t>Ryuk</t>
  </si>
  <si>
    <t>Singam samuel</t>
  </si>
  <si>
    <t>7075014752</t>
  </si>
  <si>
    <t>Jetti ashok</t>
  </si>
  <si>
    <t>8074062781</t>
  </si>
  <si>
    <t>Gulli sainikhil</t>
  </si>
  <si>
    <t>9398151017</t>
  </si>
  <si>
    <t>HV2-2026-OCT-3115</t>
  </si>
  <si>
    <t>SCURO</t>
  </si>
  <si>
    <t>B PRATEEK</t>
  </si>
  <si>
    <t>9494018532</t>
  </si>
  <si>
    <t>K SUHAS YADAV</t>
  </si>
  <si>
    <t>7013061636</t>
  </si>
  <si>
    <t>P SRIVATSAV</t>
  </si>
  <si>
    <t>7732006797</t>
  </si>
  <si>
    <t>HV2-2026-OCT-8803</t>
  </si>
  <si>
    <t>SILENT SYNTAX</t>
  </si>
  <si>
    <t>Juveria Nazmeen</t>
  </si>
  <si>
    <t>6300492375</t>
  </si>
  <si>
    <t>MOHAMMED ABDUL KALAM</t>
  </si>
  <si>
    <t>8121305468</t>
  </si>
  <si>
    <t>ALURU PRABHAS</t>
  </si>
  <si>
    <t>7893193016</t>
  </si>
  <si>
    <t>HV2-2026-OCT-8946</t>
  </si>
  <si>
    <t>SUNrisers</t>
  </si>
  <si>
    <t>Badugu Naga Dinesh</t>
  </si>
  <si>
    <t>9121257159</t>
  </si>
  <si>
    <t>Muddam Srija</t>
  </si>
  <si>
    <t>8919726646</t>
  </si>
  <si>
    <t>Mote Udaya Sri</t>
  </si>
  <si>
    <t>VBIT</t>
  </si>
  <si>
    <t>9948102961</t>
  </si>
  <si>
    <t>HV2-2026-OCT-3113</t>
  </si>
  <si>
    <t>SamNova</t>
  </si>
  <si>
    <t>Sunkara Rithika</t>
  </si>
  <si>
    <t>8374542406</t>
  </si>
  <si>
    <t>Krishna Mani</t>
  </si>
  <si>
    <t>9912957046</t>
  </si>
  <si>
    <t>Gunamgari Vaishnavi Reddy</t>
  </si>
  <si>
    <t>8919997269</t>
  </si>
  <si>
    <t>HV2-2026-OCT-4060</t>
  </si>
  <si>
    <t>Silent sparka</t>
  </si>
  <si>
    <t>Manideepika</t>
  </si>
  <si>
    <t>9059748730</t>
  </si>
  <si>
    <t>Varuna sree</t>
  </si>
  <si>
    <t>9492715267</t>
  </si>
  <si>
    <t>Vaishnavi</t>
  </si>
  <si>
    <t>6300972462</t>
  </si>
  <si>
    <t>HV2-2026-OCT-9505</t>
  </si>
  <si>
    <t>Smart smurfs</t>
  </si>
  <si>
    <t>Theerdhitha Damerla</t>
  </si>
  <si>
    <t>9391238553</t>
  </si>
  <si>
    <t>Vaishali Manchukonda</t>
  </si>
  <si>
    <t>VNR VJIET</t>
  </si>
  <si>
    <t>9390268407</t>
  </si>
  <si>
    <t>Varsha Jeedimadla</t>
  </si>
  <si>
    <t>8341297412</t>
  </si>
  <si>
    <t>HV2-2026-OCT-8432</t>
  </si>
  <si>
    <t>Spark-x</t>
  </si>
  <si>
    <t>Atinarapu Karthik</t>
  </si>
  <si>
    <t>9492421154</t>
  </si>
  <si>
    <t>Muzakkir mira Baig</t>
  </si>
  <si>
    <t>8179695198</t>
  </si>
  <si>
    <t>Mohammed Ashraf</t>
  </si>
  <si>
    <t>9951702522</t>
  </si>
  <si>
    <t>HV2-2026-OCT-3550</t>
  </si>
  <si>
    <t>Spark123</t>
  </si>
  <si>
    <t>V.Devasmitha</t>
  </si>
  <si>
    <t>7337518813</t>
  </si>
  <si>
    <t>A.Jaswanth</t>
  </si>
  <si>
    <t>8978855985</t>
  </si>
  <si>
    <t>K.Sathwika</t>
  </si>
  <si>
    <t>7989409706</t>
  </si>
  <si>
    <t>HV2-2026-OCT-9971</t>
  </si>
  <si>
    <t>Syntax Error</t>
  </si>
  <si>
    <t>Kevin Anthony Rozario</t>
  </si>
  <si>
    <t>8520086208</t>
  </si>
  <si>
    <t>Rithvik Reddy</t>
  </si>
  <si>
    <t>7995230608</t>
  </si>
  <si>
    <t>Potu Puneeth</t>
  </si>
  <si>
    <t>7702561717</t>
  </si>
  <si>
    <t>HV2-2026-OCT-3677</t>
  </si>
  <si>
    <t>Syntax.Error</t>
  </si>
  <si>
    <t>Aashrith Gupta</t>
  </si>
  <si>
    <t>8248049855</t>
  </si>
  <si>
    <t>Nitika krishna.K</t>
  </si>
  <si>
    <t>9030828356</t>
  </si>
  <si>
    <t>Khushi Thalla</t>
  </si>
  <si>
    <t>8897483147</t>
  </si>
  <si>
    <t>HV2-2026-OCT-9694</t>
  </si>
  <si>
    <t>Synvora</t>
  </si>
  <si>
    <t>Nikhitha vanamala</t>
  </si>
  <si>
    <t>6301320351</t>
  </si>
  <si>
    <t>Chityala Manaswini Reddy</t>
  </si>
  <si>
    <t>6300328141</t>
  </si>
  <si>
    <t>M.saiHarshitha</t>
  </si>
  <si>
    <t>9121864252</t>
  </si>
  <si>
    <t>HV2-2026-OCT-8098</t>
  </si>
  <si>
    <t>T pirates</t>
  </si>
  <si>
    <t>Ande Akshith</t>
  </si>
  <si>
    <t>9000070048</t>
  </si>
  <si>
    <t>Madhav</t>
  </si>
  <si>
    <t>9989286552</t>
  </si>
  <si>
    <t>Varshith</t>
  </si>
  <si>
    <t>9000491011</t>
  </si>
  <si>
    <t>HV2-2026-OCT-9090</t>
  </si>
  <si>
    <t>TEAM ELITE</t>
  </si>
  <si>
    <t>Kemburi Shanmuk Naidu</t>
  </si>
  <si>
    <t>9121849315</t>
  </si>
  <si>
    <t>Nampally Sai Santosh</t>
  </si>
  <si>
    <t>6303589435</t>
  </si>
  <si>
    <t>Ailu Spandana</t>
  </si>
  <si>
    <t>Sree Nidhi Institute of Science and Technology</t>
  </si>
  <si>
    <t>9704442431</t>
  </si>
  <si>
    <t>HV2-2026-OCT-1358</t>
  </si>
  <si>
    <t>TEAM KAIRAA</t>
  </si>
  <si>
    <t>GOUNI NIKHIL GOUD</t>
  </si>
  <si>
    <t>7416423426</t>
  </si>
  <si>
    <t>N Karthik</t>
  </si>
  <si>
    <t>9440819844</t>
  </si>
  <si>
    <t>M Nishitha</t>
  </si>
  <si>
    <t>8125987092</t>
  </si>
  <si>
    <t>HV2-2026-OCT-1146</t>
  </si>
  <si>
    <t>THE AI ALCHEMISTS</t>
  </si>
  <si>
    <t>Aparna Ivaturi</t>
  </si>
  <si>
    <t>9392899958</t>
  </si>
  <si>
    <t>PANDUGULA RUSHI</t>
  </si>
  <si>
    <t>8523835015</t>
  </si>
  <si>
    <t>NITHISH NANJUTI</t>
  </si>
  <si>
    <t>9392844521</t>
  </si>
  <si>
    <t>HV2-2026-OCT-9957</t>
  </si>
  <si>
    <t>TUMORTRACKERS</t>
  </si>
  <si>
    <t>A.LaxmiKishore</t>
  </si>
  <si>
    <t>9063455200</t>
  </si>
  <si>
    <t>B.ShubanSai</t>
  </si>
  <si>
    <t>8978698459</t>
  </si>
  <si>
    <t>S.JayaPrakash</t>
  </si>
  <si>
    <t>9505199866</t>
  </si>
  <si>
    <t>HV2-2026-OCT-4297</t>
  </si>
  <si>
    <t>Team APEX</t>
  </si>
  <si>
    <t>Gagan adithya</t>
  </si>
  <si>
    <t>8919264938</t>
  </si>
  <si>
    <t>T.Arjun</t>
  </si>
  <si>
    <t>6303808270</t>
  </si>
  <si>
    <t>K.Lohith</t>
  </si>
  <si>
    <t>9391450562</t>
  </si>
  <si>
    <t>HV2-2026-OCT-8938</t>
  </si>
  <si>
    <t>Team Apex</t>
  </si>
  <si>
    <t>Mummidivarapu Sushanth</t>
  </si>
  <si>
    <t>9949316427</t>
  </si>
  <si>
    <t>Atharva Jaiswal</t>
  </si>
  <si>
    <t>8121280791</t>
  </si>
  <si>
    <t>Joshua Jacinth</t>
  </si>
  <si>
    <t>7032251597</t>
  </si>
  <si>
    <t>HV2-2026-OCT-1964</t>
  </si>
  <si>
    <t>Team Astra</t>
  </si>
  <si>
    <t>Ch.Advaith Chalam</t>
  </si>
  <si>
    <t>8310179831</t>
  </si>
  <si>
    <t>T.Uday Kiran</t>
  </si>
  <si>
    <t>8247077137</t>
  </si>
  <si>
    <t>K.VIkram</t>
  </si>
  <si>
    <t>8179266504</t>
  </si>
  <si>
    <t>HV2-2026-OCT-7140</t>
  </si>
  <si>
    <t>Team Inspired X</t>
  </si>
  <si>
    <t>Shaik Aifaz</t>
  </si>
  <si>
    <t>9390896534</t>
  </si>
  <si>
    <t>Pala Aishwarya</t>
  </si>
  <si>
    <t>9676170890</t>
  </si>
  <si>
    <t>Pabba Sai Harsha</t>
  </si>
  <si>
    <t>Kasireddy Narayanreddy College of Engineering</t>
  </si>
  <si>
    <t>9110398116</t>
  </si>
  <si>
    <t>HV2-2026-OCT-6566</t>
  </si>
  <si>
    <t>Team neuraNova</t>
  </si>
  <si>
    <t>Vadla Vagdevi</t>
  </si>
  <si>
    <t>9100983157</t>
  </si>
  <si>
    <t>Thota.Sahasra</t>
  </si>
  <si>
    <t>7794861904</t>
  </si>
  <si>
    <t>V. Nikitha</t>
  </si>
  <si>
    <t>9063619606</t>
  </si>
  <si>
    <t>HV2-2026-OCT-1277</t>
  </si>
  <si>
    <t>Team-Boolean Pandits</t>
  </si>
  <si>
    <t>Shaik Nazia</t>
  </si>
  <si>
    <t>6305710842</t>
  </si>
  <si>
    <t>N.Manikanta</t>
  </si>
  <si>
    <t>9154737311</t>
  </si>
  <si>
    <t>V.Nandhu</t>
  </si>
  <si>
    <t>9392975220</t>
  </si>
  <si>
    <t>HV2-2026-OCT-4683</t>
  </si>
  <si>
    <t>TeamNova</t>
  </si>
  <si>
    <t>Yuvana ganga</t>
  </si>
  <si>
    <t>9398218441</t>
  </si>
  <si>
    <t>N.Tanvi Sri</t>
  </si>
  <si>
    <t>6303655086</t>
  </si>
  <si>
    <t>Laya reddy</t>
  </si>
  <si>
    <t>6302912010</t>
  </si>
  <si>
    <t>HV2-2026-OCT-3140</t>
  </si>
  <si>
    <t>Tech Buddies</t>
  </si>
  <si>
    <t>LAKSHMI NARASIMHA REDDY MARAM</t>
  </si>
  <si>
    <t>8019015526</t>
  </si>
  <si>
    <t>RISHI RAJ</t>
  </si>
  <si>
    <t>7396956081</t>
  </si>
  <si>
    <t>Ravi Shankar</t>
  </si>
  <si>
    <t>8125947299</t>
  </si>
  <si>
    <t>HV2-2026-OCT-1409</t>
  </si>
  <si>
    <t>Tech Knights</t>
  </si>
  <si>
    <t>Chennuri Sai Manogna</t>
  </si>
  <si>
    <t>6302231557</t>
  </si>
  <si>
    <t>Bikkumalla Pranathi</t>
  </si>
  <si>
    <t>9177215202</t>
  </si>
  <si>
    <t>Adavath Umesh</t>
  </si>
  <si>
    <t>9908087717</t>
  </si>
  <si>
    <t>HV2-2026-OCT-7719</t>
  </si>
  <si>
    <t>Tech Titans</t>
  </si>
  <si>
    <t>Peramalla Akshara</t>
  </si>
  <si>
    <t>9392489562</t>
  </si>
  <si>
    <t>Puneeth Raja kushana</t>
  </si>
  <si>
    <t>9912348041</t>
  </si>
  <si>
    <t>P.mounika</t>
  </si>
  <si>
    <t>7396381618</t>
  </si>
  <si>
    <t>HV2-2026-OCT-4110</t>
  </si>
  <si>
    <t>Tech Trilogy</t>
  </si>
  <si>
    <t>Tejdeep Munjampally</t>
  </si>
  <si>
    <t>7569784079</t>
  </si>
  <si>
    <t>B V Pavan Kalyan</t>
  </si>
  <si>
    <t>6300874602</t>
  </si>
  <si>
    <t>Gurjapalli Srujan Anirudh</t>
  </si>
  <si>
    <t>9063087602</t>
  </si>
  <si>
    <t>HV2-2026-OCT-2387</t>
  </si>
  <si>
    <t>Tech Trio</t>
  </si>
  <si>
    <t>Kanumanoori Akshitha</t>
  </si>
  <si>
    <t>7396873332</t>
  </si>
  <si>
    <t>Mandala Spoorthi</t>
  </si>
  <si>
    <t>9666305257</t>
  </si>
  <si>
    <t>HV2-2026-OCT-4609</t>
  </si>
  <si>
    <t>Anthati Bhanu Tripura</t>
  </si>
  <si>
    <t>9885533397</t>
  </si>
  <si>
    <t>HV2-2026-OCT-8992</t>
  </si>
  <si>
    <t>Tech stars</t>
  </si>
  <si>
    <t>Alasakani Teja Sri</t>
  </si>
  <si>
    <t>9182259345</t>
  </si>
  <si>
    <t>Kattekola Varshitha</t>
  </si>
  <si>
    <t>8341497261</t>
  </si>
  <si>
    <t>Karamsetti Satvik Umesh</t>
  </si>
  <si>
    <t>6302307253</t>
  </si>
  <si>
    <t>HV2-2026-OCT-1067</t>
  </si>
  <si>
    <t>TechNova</t>
  </si>
  <si>
    <t>Rajarikam Ashish</t>
  </si>
  <si>
    <t>9989813126</t>
  </si>
  <si>
    <t>Rayala Vamshi Krishna</t>
  </si>
  <si>
    <t>9866365084</t>
  </si>
  <si>
    <t>Gundu Akhil Goud</t>
  </si>
  <si>
    <t>7981447707</t>
  </si>
  <si>
    <t>HV2-2026-OCT-8332</t>
  </si>
  <si>
    <t>TechTonic</t>
  </si>
  <si>
    <t>Sriram.varun Kumar</t>
  </si>
  <si>
    <t>9010489345</t>
  </si>
  <si>
    <t>Gude Nikhil</t>
  </si>
  <si>
    <t>8125718484</t>
  </si>
  <si>
    <t>Ramavath Ganesh</t>
  </si>
  <si>
    <t>9542664155</t>
  </si>
  <si>
    <t>HV2-2026-OCT-8681</t>
  </si>
  <si>
    <t>TechTrio</t>
  </si>
  <si>
    <t>Mokkuroju Mithila Sai</t>
  </si>
  <si>
    <t>8520946284</t>
  </si>
  <si>
    <t>Myathari Sanjana</t>
  </si>
  <si>
    <t>9908343586</t>
  </si>
  <si>
    <t>Kokkarakunta Sharanya</t>
  </si>
  <si>
    <t>7702184591</t>
  </si>
  <si>
    <t>HV2-2026-OCT-7435</t>
  </si>
  <si>
    <t>TechZen</t>
  </si>
  <si>
    <t>Seela Chandrika</t>
  </si>
  <si>
    <t>9110378192</t>
  </si>
  <si>
    <t>Rati  Niharika</t>
  </si>
  <si>
    <t>9000862236</t>
  </si>
  <si>
    <t>Singapanga Srivani</t>
  </si>
  <si>
    <t>9963510590</t>
  </si>
  <si>
    <t>HV2-2026-OCT-8838</t>
  </si>
  <si>
    <t>Technicaltweakers</t>
  </si>
  <si>
    <t>THIMMAPURAM SIDDHARTHA</t>
  </si>
  <si>
    <t>9110515171</t>
  </si>
  <si>
    <t>Sai sharan bantu</t>
  </si>
  <si>
    <t>7989203531</t>
  </si>
  <si>
    <t>Vamshi krishna</t>
  </si>
  <si>
    <t>6309042609</t>
  </si>
  <si>
    <t>HV2-2026-OCT-9030</t>
  </si>
  <si>
    <t>The Avengers</t>
  </si>
  <si>
    <t>Ruthwik Reddy</t>
  </si>
  <si>
    <t>8328411981</t>
  </si>
  <si>
    <t>Akshay kumar</t>
  </si>
  <si>
    <t>8464003390</t>
  </si>
  <si>
    <t>Kaushik</t>
  </si>
  <si>
    <t>9441789192</t>
  </si>
  <si>
    <t>HV2-2026-OCT-7793</t>
  </si>
  <si>
    <t>The Deccan Triad</t>
  </si>
  <si>
    <t>Aavula venkatesh</t>
  </si>
  <si>
    <t>9573364805</t>
  </si>
  <si>
    <t>Bairu Tejaswini</t>
  </si>
  <si>
    <t>8121360378</t>
  </si>
  <si>
    <t>Chitikela Sravya Sri</t>
  </si>
  <si>
    <t>7993799165</t>
  </si>
  <si>
    <t>HV2-2026-OCT-1887</t>
  </si>
  <si>
    <t>The GPT-Geniuses</t>
  </si>
  <si>
    <t>TIRUMALA VENKATA ADITYA</t>
  </si>
  <si>
    <t>9346423850</t>
  </si>
  <si>
    <t>Gollapudi Sai Ranga Asish</t>
  </si>
  <si>
    <t>9963053244</t>
  </si>
  <si>
    <t>Jaswanth Saminepally</t>
  </si>
  <si>
    <t>7893965456</t>
  </si>
  <si>
    <t>HV2-2026-OCT-8774</t>
  </si>
  <si>
    <t>Threefold</t>
  </si>
  <si>
    <t>G.Laxmi Prasanna</t>
  </si>
  <si>
    <t>9063648503</t>
  </si>
  <si>
    <t>Vuduthala sreeja</t>
  </si>
  <si>
    <t>9490363245</t>
  </si>
  <si>
    <t>S.Varshitha</t>
  </si>
  <si>
    <t>7036914265</t>
  </si>
  <si>
    <t>HV2-2026-OCT-1157</t>
  </si>
  <si>
    <t>Titan</t>
  </si>
  <si>
    <t>MURIKIPUDI NIKHIL</t>
  </si>
  <si>
    <t>7702646263</t>
  </si>
  <si>
    <t>MANDALOJU VISHWAJITH</t>
  </si>
  <si>
    <t>9849093628</t>
  </si>
  <si>
    <t>VISWANADULA PHANINDRA</t>
  </si>
  <si>
    <t>9391110454</t>
  </si>
  <si>
    <t>HV2-2026-OCT-7478</t>
  </si>
  <si>
    <t>Top Gun</t>
  </si>
  <si>
    <t>Gunturi Venkata Sri Raghavendra</t>
  </si>
  <si>
    <t>6281691232</t>
  </si>
  <si>
    <t>OGIRALA VENKATA ANJANEYA PHANINDRA</t>
  </si>
  <si>
    <t>9063008379</t>
  </si>
  <si>
    <t>Kartheek Hasanabada</t>
  </si>
  <si>
    <t>6303102806</t>
  </si>
  <si>
    <t>HV2-2026-OCT-6526</t>
  </si>
  <si>
    <t>TriCharms</t>
  </si>
  <si>
    <t>SPOORTHI VADLAKONDA</t>
  </si>
  <si>
    <t>CMR College of Engineering and Technology</t>
  </si>
  <si>
    <t>7075206924</t>
  </si>
  <si>
    <t>S SAI MANASA</t>
  </si>
  <si>
    <t>7337560806</t>
  </si>
  <si>
    <t>S SAI VARSHIT</t>
  </si>
  <si>
    <t>6305041671</t>
  </si>
  <si>
    <t>HV2-2026-OCT-3044</t>
  </si>
  <si>
    <t>TriVision</t>
  </si>
  <si>
    <t>Pujitha Varikuppala</t>
  </si>
  <si>
    <t>7780687485</t>
  </si>
  <si>
    <t>Srividhya Motapalukula</t>
  </si>
  <si>
    <t>7989498425</t>
  </si>
  <si>
    <t>Poojitha Sambeti</t>
  </si>
  <si>
    <t>6300204960</t>
  </si>
  <si>
    <t>HV2-2026-OCT-9461</t>
  </si>
  <si>
    <t>TrioTech Titans</t>
  </si>
  <si>
    <t>Ettamoni Navya</t>
  </si>
  <si>
    <t>7794803804</t>
  </si>
  <si>
    <t>Bandi ArunKumar</t>
  </si>
  <si>
    <t>9398408354</t>
  </si>
  <si>
    <t>Akula SriLekha</t>
  </si>
  <si>
    <t>9381754093</t>
  </si>
  <si>
    <t>HV2-2026-OCT-9262</t>
  </si>
  <si>
    <t>Tritech</t>
  </si>
  <si>
    <t>THIRUGAMALLA AMULYA</t>
  </si>
  <si>
    <t>9014673529</t>
  </si>
  <si>
    <t>KOLANUPAKA HARSHINI</t>
  </si>
  <si>
    <t>9704908887</t>
  </si>
  <si>
    <t>BODDUPALLI JOSHIKA</t>
  </si>
  <si>
    <t>7093908974</t>
  </si>
  <si>
    <t>HV2-2026-OCT-5193</t>
  </si>
  <si>
    <t>Turing Titans</t>
  </si>
  <si>
    <t>GOWTHAM J</t>
  </si>
  <si>
    <t>7569586412</t>
  </si>
  <si>
    <t>HAASIKA G</t>
  </si>
  <si>
    <t>7780495007</t>
  </si>
  <si>
    <t>P THARIKA</t>
  </si>
  <si>
    <t>9182988229</t>
  </si>
  <si>
    <t>HV2-2026-OCT-2398</t>
  </si>
  <si>
    <t>Ultron</t>
  </si>
  <si>
    <t>Abhilash Nallagula</t>
  </si>
  <si>
    <t>9703322015</t>
  </si>
  <si>
    <t>Ujjwal Shreyas</t>
  </si>
  <si>
    <t>6302759866</t>
  </si>
  <si>
    <t>Mitul Nayakwadi</t>
  </si>
  <si>
    <t>7013323577</t>
  </si>
  <si>
    <t>HV2-2026-OCT-6374</t>
  </si>
  <si>
    <t>VISWAS</t>
  </si>
  <si>
    <t>PAGIDIPALLI SUNNYKIRAN</t>
  </si>
  <si>
    <t>7993030010</t>
  </si>
  <si>
    <t>GUNDA SWARAN</t>
  </si>
  <si>
    <t>8328617621</t>
  </si>
  <si>
    <t>Kolipaka vishal</t>
  </si>
  <si>
    <t>8688838685</t>
  </si>
  <si>
    <t>HV2-2026-OCT-6025</t>
  </si>
  <si>
    <t>VRUCCHIKARAASI</t>
  </si>
  <si>
    <t>Nithin sai</t>
  </si>
  <si>
    <t>9703613458</t>
  </si>
  <si>
    <t>Mikkilineni sumana sri</t>
  </si>
  <si>
    <t>9603613458</t>
  </si>
  <si>
    <t>Sai Teja</t>
  </si>
  <si>
    <t>9502956808</t>
  </si>
  <si>
    <t>HV2-2026-OCT-1149</t>
  </si>
  <si>
    <t>VisionX</t>
  </si>
  <si>
    <t>Boya Siri</t>
  </si>
  <si>
    <t>8688213994</t>
  </si>
  <si>
    <t>Thanniru Sravani</t>
  </si>
  <si>
    <t>8247206884</t>
  </si>
  <si>
    <t>M Harshitha</t>
  </si>
  <si>
    <t>7989716343</t>
  </si>
  <si>
    <t>HV2-2026-OCT-4175</t>
  </si>
  <si>
    <t>G venkata satvik</t>
  </si>
  <si>
    <t>9347894341</t>
  </si>
  <si>
    <t>Pola Sadhika</t>
  </si>
  <si>
    <t>7842514989</t>
  </si>
  <si>
    <t>Eslavath varun</t>
  </si>
  <si>
    <t>8187099935</t>
  </si>
  <si>
    <t>HV2-2026-OCT-9929</t>
  </si>
  <si>
    <t>MUSHTIPALLY SHRAVYA SHRUTHI</t>
  </si>
  <si>
    <t>9550250405</t>
  </si>
  <si>
    <t>NETHALLA ANUSRI</t>
  </si>
  <si>
    <t>9390750640</t>
  </si>
  <si>
    <t>KOMIRELLY SNEHA</t>
  </si>
  <si>
    <t>7075991881</t>
  </si>
  <si>
    <t>HV2-2026-OCT-6517</t>
  </si>
  <si>
    <t>WeGotLatent</t>
  </si>
  <si>
    <t>Sri Charan Varma P</t>
  </si>
  <si>
    <t>7013787104</t>
  </si>
  <si>
    <t>Shivadeekshith Reddy S</t>
  </si>
  <si>
    <t>9640861234</t>
  </si>
  <si>
    <t>R Sree Sai Lochan</t>
  </si>
  <si>
    <t>9966009403</t>
  </si>
  <si>
    <t>HV2-2026-OCT-5119</t>
  </si>
  <si>
    <t>ZENTRO</t>
  </si>
  <si>
    <t>A. Prudhvi Ranga Reddy</t>
  </si>
  <si>
    <t>9581887427</t>
  </si>
  <si>
    <t>Neerup Kiran</t>
  </si>
  <si>
    <t>8143817479</t>
  </si>
  <si>
    <t>K. Nikhil</t>
  </si>
  <si>
    <t>8074905723</t>
  </si>
  <si>
    <t>HV2-2026-OCT-7898</t>
  </si>
  <si>
    <t>Zenith</t>
  </si>
  <si>
    <t>Mythri Machanagari</t>
  </si>
  <si>
    <t>6301219971</t>
  </si>
  <si>
    <t>Akifa Rana</t>
  </si>
  <si>
    <t>6304065200</t>
  </si>
  <si>
    <t>Pingali Akshitha</t>
  </si>
  <si>
    <t>9100771954</t>
  </si>
  <si>
    <t>HV2-2026-OCT-1058</t>
  </si>
  <si>
    <t>Zentra</t>
  </si>
  <si>
    <t>Katakam Athiksh</t>
  </si>
  <si>
    <t>7680946118</t>
  </si>
  <si>
    <t>Vaishnavi Kodandapani</t>
  </si>
  <si>
    <t>8688346199</t>
  </si>
  <si>
    <t>Kanchi shanmukha nagendri</t>
  </si>
  <si>
    <t>8106671073</t>
  </si>
  <si>
    <t>HV2-2026-OCT-8300</t>
  </si>
  <si>
    <t>Zero2One</t>
  </si>
  <si>
    <t>TRIKUTA NEELAKANTAM</t>
  </si>
  <si>
    <t>8330963307</t>
  </si>
  <si>
    <t>BHARATH NATH</t>
  </si>
  <si>
    <t>9581047117</t>
  </si>
  <si>
    <t>P NAGA ROSHINI</t>
  </si>
  <si>
    <t>7386122323</t>
  </si>
  <si>
    <t>HV2-2026-OCT-1731</t>
  </si>
  <si>
    <t>Zevra</t>
  </si>
  <si>
    <t>Niharika karney</t>
  </si>
  <si>
    <t>9392535204</t>
  </si>
  <si>
    <t>Sharanaya</t>
  </si>
  <si>
    <t>7075612886</t>
  </si>
  <si>
    <t>Likhitha Reddy</t>
  </si>
  <si>
    <t>9398637556</t>
  </si>
  <si>
    <t>HV2-2026-OCT-4670</t>
  </si>
  <si>
    <t>Zorvium</t>
  </si>
  <si>
    <t>Raja Murugesh</t>
  </si>
  <si>
    <t>8247514341</t>
  </si>
  <si>
    <t>Patti Vinay Kumar</t>
  </si>
  <si>
    <t>9392513435</t>
  </si>
  <si>
    <t>Butti Meghana</t>
  </si>
  <si>
    <t>6303109207</t>
  </si>
  <si>
    <t>HV2-2026-OCT-2526</t>
  </si>
  <si>
    <t>coolbuddies</t>
  </si>
  <si>
    <t>J.Harshad Kumar</t>
  </si>
  <si>
    <t>8309972649</t>
  </si>
  <si>
    <t>k.sai kruthika</t>
  </si>
  <si>
    <t>7569841329</t>
  </si>
  <si>
    <t>v.yagnesh kumar</t>
  </si>
  <si>
    <t>9030955082</t>
  </si>
  <si>
    <t>HV2-2026-OCT-4358</t>
  </si>
  <si>
    <t>localhost:8000</t>
  </si>
  <si>
    <t>Nakka Sreenitya</t>
  </si>
  <si>
    <t>7672060178</t>
  </si>
  <si>
    <t>Pendem vinay</t>
  </si>
  <si>
    <t>8919814429</t>
  </si>
  <si>
    <t>V Sai charan</t>
  </si>
  <si>
    <t>7386951961</t>
  </si>
  <si>
    <t>HV2-2026-OCT-2639</t>
  </si>
  <si>
    <t>open bot swarms</t>
  </si>
  <si>
    <t>VENEPALLI AJAY KRUTHIK SAI</t>
  </si>
  <si>
    <t>6281035202</t>
  </si>
  <si>
    <t>VANAPALLY PRANEETH REDDY</t>
  </si>
  <si>
    <t>8978881882</t>
  </si>
  <si>
    <t>Srinidhimaringnati</t>
  </si>
  <si>
    <t>9398501119</t>
  </si>
  <si>
    <t>HV2-2026-OCT-3279</t>
  </si>
  <si>
    <t>sigmacoders</t>
  </si>
  <si>
    <t>GSN MURTHY</t>
  </si>
  <si>
    <t>9491945495</t>
  </si>
  <si>
    <t>K.BHAVANA</t>
  </si>
  <si>
    <t>7993802408</t>
  </si>
  <si>
    <t>PRATHEEK REDDY</t>
  </si>
  <si>
    <t>7386472901</t>
  </si>
  <si>
    <t>HV2-2026-OCT-3104</t>
  </si>
  <si>
    <t>svh</t>
  </si>
  <si>
    <t>Sneha Ganimukkula</t>
  </si>
  <si>
    <t>9866453590</t>
  </si>
  <si>
    <t>Naga Vaishnavi</t>
  </si>
  <si>
    <t>6309088121</t>
  </si>
  <si>
    <t>Harshitha Paramala</t>
  </si>
  <si>
    <t>9063335235</t>
  </si>
  <si>
    <t>HV2-2026-OCT-2057</t>
  </si>
  <si>
    <t>team NEXUS</t>
  </si>
  <si>
    <t>John bunyan Anaparthi</t>
  </si>
  <si>
    <t>7680045742</t>
  </si>
  <si>
    <t>D.SAI TEJA NAYAK</t>
  </si>
  <si>
    <t>7093897405</t>
  </si>
  <si>
    <t>Jadav ritesh</t>
  </si>
  <si>
    <t>9550630981</t>
  </si>
  <si>
    <t>HV2-2026-OCT-5156</t>
  </si>
  <si>
    <t>warriors</t>
  </si>
  <si>
    <t>Arukala vijayanand</t>
  </si>
  <si>
    <t>8639672027</t>
  </si>
  <si>
    <t>Kondoju Santosh</t>
  </si>
  <si>
    <t>7981399618</t>
  </si>
  <si>
    <t>Gundla Siddhartha</t>
  </si>
  <si>
    <t>8125298916</t>
  </si>
  <si>
    <t>HV2-2026-OCT-2624</t>
  </si>
  <si>
    <t>Astra-gpt6</t>
  </si>
  <si>
    <t>Haneef Mohammad</t>
  </si>
  <si>
    <t>Cyber Security</t>
  </si>
  <si>
    <t>9676208652</t>
  </si>
  <si>
    <t>Billapati Yashwanth Reddy</t>
  </si>
  <si>
    <t>9441819445</t>
  </si>
  <si>
    <t>Mothuku Keerthana</t>
  </si>
  <si>
    <t>9100524513</t>
  </si>
  <si>
    <t>HV2-2026-OCT-6875</t>
  </si>
  <si>
    <t>Axiom Three</t>
  </si>
  <si>
    <t>maithrika banda</t>
  </si>
  <si>
    <t>8008804364</t>
  </si>
  <si>
    <t>Baigani Prabhu Teja</t>
  </si>
  <si>
    <t>EEE</t>
  </si>
  <si>
    <t>9963973677</t>
  </si>
  <si>
    <t>Manga Vikram</t>
  </si>
  <si>
    <t>9848306153</t>
  </si>
  <si>
    <t>HV2-2026-OCT-8554</t>
  </si>
  <si>
    <t>Catalyst</t>
  </si>
  <si>
    <t>Kambhalapalli srinadh</t>
  </si>
  <si>
    <t>Pallavi Engineering College</t>
  </si>
  <si>
    <t>7032363755</t>
  </si>
  <si>
    <t>Chinthala shiva rama krishna</t>
  </si>
  <si>
    <t>7670986689</t>
  </si>
  <si>
    <t>Bollam Ajay</t>
  </si>
  <si>
    <t>7396967187</t>
  </si>
  <si>
    <t>HV2-2026-OCT-1915</t>
  </si>
  <si>
    <t>Code Crusaders</t>
  </si>
  <si>
    <t>Ghanta Kowshik Kumar</t>
  </si>
  <si>
    <t>9652491275</t>
  </si>
  <si>
    <t>Yandamuri Venkat</t>
  </si>
  <si>
    <t>9492513338</t>
  </si>
  <si>
    <t>Bommisetty Pranava Sree</t>
  </si>
  <si>
    <t>8977527418</t>
  </si>
  <si>
    <t>HV2-2026-OCT-3310</t>
  </si>
  <si>
    <t>CyberNova</t>
  </si>
  <si>
    <t>Cheguri Varshasree</t>
  </si>
  <si>
    <t>8125192448</t>
  </si>
  <si>
    <t>Bujagouni Sakshitha</t>
  </si>
  <si>
    <t>9490509459</t>
  </si>
  <si>
    <t>Ravula Ashvitha</t>
  </si>
  <si>
    <t>6305566155</t>
  </si>
  <si>
    <t>HV2-2026-OCT-5095</t>
  </si>
  <si>
    <t>CyberVanguard</t>
  </si>
  <si>
    <t>VAMANABATLA SAMANVITHA SHARMA</t>
  </si>
  <si>
    <t>9911998448</t>
  </si>
  <si>
    <t>Alladi Anjana Sri</t>
  </si>
  <si>
    <t>9248439709</t>
  </si>
  <si>
    <t>Binnala Ritu</t>
  </si>
  <si>
    <t>6309845685</t>
  </si>
  <si>
    <t>HV2-2026-OCT-3193</t>
  </si>
  <si>
    <t>Cyvanta</t>
  </si>
  <si>
    <t>Valaboju Hamsika</t>
  </si>
  <si>
    <t>9440801653</t>
  </si>
  <si>
    <t>S.Arthi</t>
  </si>
  <si>
    <t>9666122276</t>
  </si>
  <si>
    <t>Jahnavi</t>
  </si>
  <si>
    <t>8712197493</t>
  </si>
  <si>
    <t>HV2-2026-OCT-1648</t>
  </si>
  <si>
    <t>DRISTI</t>
  </si>
  <si>
    <t>VISHNU VARDHAN CHIRRAPU</t>
  </si>
  <si>
    <t>9392980085</t>
  </si>
  <si>
    <t>Nimmala Indu</t>
  </si>
  <si>
    <t>6304336527</t>
  </si>
  <si>
    <t>Bhukya Monali</t>
  </si>
  <si>
    <t>9392458375</t>
  </si>
  <si>
    <t>HV2-2026-OCT-8167</t>
  </si>
  <si>
    <t>Grand vice</t>
  </si>
  <si>
    <t>Talasani Mithul Reddy</t>
  </si>
  <si>
    <t>9948743042</t>
  </si>
  <si>
    <t>C Harshit</t>
  </si>
  <si>
    <t>9381258576</t>
  </si>
  <si>
    <t>J Sai Jashwanth</t>
  </si>
  <si>
    <t>9494329249</t>
  </si>
  <si>
    <t>HV2-2026-OCT-4328</t>
  </si>
  <si>
    <t>HackZen</t>
  </si>
  <si>
    <t>Afsha Mehreen</t>
  </si>
  <si>
    <t>7702952655</t>
  </si>
  <si>
    <t>Tarini</t>
  </si>
  <si>
    <t>8019029777</t>
  </si>
  <si>
    <t>Yamini</t>
  </si>
  <si>
    <t>8125664708</t>
  </si>
  <si>
    <t>HV2-2026-OCT-5039</t>
  </si>
  <si>
    <t>Infinity coders</t>
  </si>
  <si>
    <t>Akhil Jammula</t>
  </si>
  <si>
    <t>9494297547</t>
  </si>
  <si>
    <t>Aerasani Pradeepthi</t>
  </si>
  <si>
    <t>Anurag University</t>
  </si>
  <si>
    <t>8019196392</t>
  </si>
  <si>
    <t>Sai samhitha</t>
  </si>
  <si>
    <t>7396291925</t>
  </si>
  <si>
    <t>HV2-2026-OCT-6290</t>
  </si>
  <si>
    <t>LUFFY</t>
  </si>
  <si>
    <t>M.Sajay</t>
  </si>
  <si>
    <t>AVCE, Pottalkulam</t>
  </si>
  <si>
    <t>7871090927</t>
  </si>
  <si>
    <t>S.sri Manikandan</t>
  </si>
  <si>
    <t>8428401607</t>
  </si>
  <si>
    <t>Kanhaiya lal dindor</t>
  </si>
  <si>
    <t>9509374598</t>
  </si>
  <si>
    <t>HV2-2026-OCT-1291</t>
  </si>
  <si>
    <t>LockIn</t>
  </si>
  <si>
    <t>Bhanu Teja Gupta Vuppu</t>
  </si>
  <si>
    <t>9440394651</t>
  </si>
  <si>
    <t>Md Muzaffar</t>
  </si>
  <si>
    <t>6300045034</t>
  </si>
  <si>
    <t>B Saharsha</t>
  </si>
  <si>
    <t>9063123199</t>
  </si>
  <si>
    <t>HV2-2026-OCT-8109</t>
  </si>
  <si>
    <t>Phantomx</t>
  </si>
  <si>
    <t>Shaik Shaher Bano Noorjahan</t>
  </si>
  <si>
    <t>9963004559</t>
  </si>
  <si>
    <t>Vedere Siri Chandana Reddy</t>
  </si>
  <si>
    <t>9182614305</t>
  </si>
  <si>
    <t>B.Divya</t>
  </si>
  <si>
    <t>9390598541</t>
  </si>
  <si>
    <t>HV2-2026-OCT-9688</t>
  </si>
  <si>
    <t>Sathwika</t>
  </si>
  <si>
    <t>Srinidhi Narani</t>
  </si>
  <si>
    <t>6309637995</t>
  </si>
  <si>
    <t>Sathwika Reddy Gade</t>
  </si>
  <si>
    <t>9676834000</t>
  </si>
  <si>
    <t>Ristesh kota</t>
  </si>
  <si>
    <t>Mahindra University</t>
  </si>
  <si>
    <t>8332907441</t>
  </si>
  <si>
    <t>HV2-2026-OCT-2367</t>
  </si>
  <si>
    <t>Scout Regiment</t>
  </si>
  <si>
    <t>D.Bharanish</t>
  </si>
  <si>
    <t>7396337438</t>
  </si>
  <si>
    <t>K.Tejaswini</t>
  </si>
  <si>
    <t>95737361258</t>
  </si>
  <si>
    <t>N.Koushal</t>
  </si>
  <si>
    <t>9014001844</t>
  </si>
  <si>
    <t>HV2-2026-OCT-3987</t>
  </si>
  <si>
    <t>Syntax error</t>
  </si>
  <si>
    <t>T vikram</t>
  </si>
  <si>
    <t>9705048160</t>
  </si>
  <si>
    <t>M Vishal</t>
  </si>
  <si>
    <t>7330869671</t>
  </si>
  <si>
    <t>P harshith</t>
  </si>
  <si>
    <t>8121732531</t>
  </si>
  <si>
    <t>HV2-2026-OCT-5055</t>
  </si>
  <si>
    <t>Team Rolex</t>
  </si>
  <si>
    <t>Tanneru Naga Charan Tej</t>
  </si>
  <si>
    <t>6304510542</t>
  </si>
  <si>
    <t>Anampally Sai Rakshith</t>
  </si>
  <si>
    <t>8187059394</t>
  </si>
  <si>
    <t>Oruganti Pranav Sri Datta</t>
  </si>
  <si>
    <t>9490262822</t>
  </si>
  <si>
    <t>HV2-2026-OCT-8785</t>
  </si>
  <si>
    <t>Team Void</t>
  </si>
  <si>
    <t>Nikhil Reddy</t>
  </si>
  <si>
    <t>9491659096</t>
  </si>
  <si>
    <t>P Sathwika</t>
  </si>
  <si>
    <t>9392627325</t>
  </si>
  <si>
    <t>M Sanjay</t>
  </si>
  <si>
    <t>9849655411</t>
  </si>
  <si>
    <t>HV2-2026-OCT-6282</t>
  </si>
  <si>
    <t>Team Vulcan</t>
  </si>
  <si>
    <t>G.Sai Srihas</t>
  </si>
  <si>
    <t>9652692268</t>
  </si>
  <si>
    <t>K.Swapnil</t>
  </si>
  <si>
    <t>7207800660</t>
  </si>
  <si>
    <t>B.Bharadwaj</t>
  </si>
  <si>
    <t>Neil Gogte Institute of Technology</t>
  </si>
  <si>
    <t>9391237318</t>
  </si>
  <si>
    <t>HV2-2026-OCT-3686</t>
  </si>
  <si>
    <t>Trinetra</t>
  </si>
  <si>
    <t>Ramya Mandava</t>
  </si>
  <si>
    <t>6303283079</t>
  </si>
  <si>
    <t>S.pranathi</t>
  </si>
  <si>
    <t>8008606832</t>
  </si>
  <si>
    <t>P.Bhavya</t>
  </si>
  <si>
    <t>9494508239</t>
  </si>
  <si>
    <t>HV2-2026-OCT-3333</t>
  </si>
  <si>
    <t>Trojan Horses</t>
  </si>
  <si>
    <t>S SAJID BASHA</t>
  </si>
  <si>
    <t>7075107431</t>
  </si>
  <si>
    <t>B ABHINAV</t>
  </si>
  <si>
    <t>7416009806</t>
  </si>
  <si>
    <t>ESHWAR REDDY</t>
  </si>
  <si>
    <t>6281519839</t>
  </si>
  <si>
    <t>HV2-2026-OCT-7164</t>
  </si>
  <si>
    <t>VignanTree</t>
  </si>
  <si>
    <t>Alakuchi Anirudh</t>
  </si>
  <si>
    <t>9121094699</t>
  </si>
  <si>
    <t>Syed Ghayas Ur Rehman</t>
  </si>
  <si>
    <t>9666164416</t>
  </si>
  <si>
    <t>J Venkata Sai Ravi Raj</t>
  </si>
  <si>
    <t>8008845058</t>
  </si>
  <si>
    <t>HV2-2026-OCT-2114</t>
  </si>
  <si>
    <t>cybershield 2.0</t>
  </si>
  <si>
    <t>Pasula Reshma</t>
  </si>
  <si>
    <t>AVN Institute of Engineering and Technology</t>
  </si>
  <si>
    <t>9652982759</t>
  </si>
  <si>
    <t>Gandeti Goutham</t>
  </si>
  <si>
    <t>6309123856</t>
  </si>
  <si>
    <t>R.Sathwika</t>
  </si>
  <si>
    <t>9032352474</t>
  </si>
  <si>
    <t>HV2-2026-OCT-4496</t>
  </si>
  <si>
    <t>espresso</t>
  </si>
  <si>
    <t>T Hemanth</t>
  </si>
  <si>
    <t>9014106846</t>
  </si>
  <si>
    <t>K Spoorthi Reddy</t>
  </si>
  <si>
    <t>9030350730</t>
  </si>
  <si>
    <t>R pranay Kumar</t>
  </si>
  <si>
    <t>7989235132</t>
  </si>
  <si>
    <t>HV2-2026-OCT-6975</t>
  </si>
  <si>
    <t>prisha</t>
  </si>
  <si>
    <t>Prisha Priyanjal</t>
  </si>
  <si>
    <t>9493903251</t>
  </si>
  <si>
    <t>milika reddy</t>
  </si>
  <si>
    <t>9573604089</t>
  </si>
  <si>
    <t>Akshitha Reddy</t>
  </si>
  <si>
    <t>9989392885</t>
  </si>
  <si>
    <t>HV2-2026-OCT-6458</t>
  </si>
  <si>
    <t>3gger pulse</t>
  </si>
  <si>
    <t>Likhitha Vinnakota</t>
  </si>
  <si>
    <t>Internet of Things (IOT)</t>
  </si>
  <si>
    <t>7893770062</t>
  </si>
  <si>
    <t>Molankar Tejeshwini</t>
  </si>
  <si>
    <t>9390792019</t>
  </si>
  <si>
    <t>Yanagandala Tejesh</t>
  </si>
  <si>
    <t>7893818817</t>
  </si>
  <si>
    <t>HV2-2026-OCT-9520</t>
  </si>
  <si>
    <t>ERROR-404</t>
  </si>
  <si>
    <t>R.Vidya Shankar</t>
  </si>
  <si>
    <t>9360921529</t>
  </si>
  <si>
    <t>vemuri vijayeswarara rao</t>
  </si>
  <si>
    <t>8332932136</t>
  </si>
  <si>
    <t>N. Meenakshi Srinidhi</t>
  </si>
  <si>
    <t>EIE</t>
  </si>
  <si>
    <t>7207403604</t>
  </si>
  <si>
    <t>HV2-2026-OCT-6161</t>
  </si>
  <si>
    <t>Mechanical Mavericks</t>
  </si>
  <si>
    <t>Pravinya Valluri</t>
  </si>
  <si>
    <t>9110329739</t>
  </si>
  <si>
    <t>Bandaru Bhuvaneshwari</t>
  </si>
  <si>
    <t>9849660756</t>
  </si>
  <si>
    <t>Gopagani Sanjay</t>
  </si>
  <si>
    <t>9063431086</t>
  </si>
  <si>
    <t>HV2-2026-OCT-6112</t>
  </si>
  <si>
    <t>Nullvector</t>
  </si>
  <si>
    <t>Pothuganti Ganateju</t>
  </si>
  <si>
    <t>9502479610</t>
  </si>
  <si>
    <t>Avvaru sriya</t>
  </si>
  <si>
    <t>7075229139</t>
  </si>
  <si>
    <t>PANGULURI VYSHNAVI</t>
  </si>
  <si>
    <t>8919416257</t>
  </si>
  <si>
    <t>HV2-2026-OCT-5380</t>
  </si>
  <si>
    <t>Ravens</t>
  </si>
  <si>
    <t>Vanavoju Varshitha</t>
  </si>
  <si>
    <t>9390442352</t>
  </si>
  <si>
    <t>Vadakattu Bharath</t>
  </si>
  <si>
    <t>9063639625</t>
  </si>
  <si>
    <t>B.Ashwith</t>
  </si>
  <si>
    <t>7386770214</t>
  </si>
  <si>
    <t>HV2-2026-OCT-4925</t>
  </si>
  <si>
    <t>Shouryanga</t>
  </si>
  <si>
    <t>E Rithvk Nag</t>
  </si>
  <si>
    <t>7995712308</t>
  </si>
  <si>
    <t>Karunya Rajasekhar Kothapalli</t>
  </si>
  <si>
    <t>9398191633</t>
  </si>
  <si>
    <t>CH Harshit</t>
  </si>
  <si>
    <t>9014516625</t>
  </si>
  <si>
    <t>HV2-2026-OCT-3998</t>
  </si>
  <si>
    <t>TEAM FALCONS</t>
  </si>
  <si>
    <t>PENTA RISHI VASTHAL</t>
  </si>
  <si>
    <t>9110764728</t>
  </si>
  <si>
    <t>CHAKRAHARI HARSHITH RAJU</t>
  </si>
  <si>
    <t>6303326553</t>
  </si>
  <si>
    <t>MADHAVARAM JASWANTH</t>
  </si>
  <si>
    <t>7893784959</t>
  </si>
  <si>
    <t>HV2-2026-OCT-8439</t>
  </si>
  <si>
    <t>Titans</t>
  </si>
  <si>
    <t>Siddartha Samala</t>
  </si>
  <si>
    <t>9030520458</t>
  </si>
  <si>
    <t>Y Harsha krishna</t>
  </si>
  <si>
    <t>8125418662</t>
  </si>
  <si>
    <t>Burri Ruthwik</t>
  </si>
  <si>
    <t>9515276423</t>
  </si>
  <si>
    <t>UCQP3790</t>
  </si>
  <si>
    <t>EVA-01</t>
  </si>
  <si>
    <t>Taufiq Mohammad</t>
  </si>
  <si>
    <t>Institute of Aeronautical Engineering (IARE)</t>
  </si>
  <si>
    <t>Not specified</t>
  </si>
  <si>
    <t>Not provided</t>
  </si>
  <si>
    <t>Sai Ashika Katragadda</t>
  </si>
  <si>
    <t>Other</t>
  </si>
  <si>
    <t>Ashwaq Mohammad</t>
  </si>
  <si>
    <t>UN79QH19</t>
  </si>
  <si>
    <t>Forward Minds</t>
  </si>
  <si>
    <t>RAVITEJA Dadi</t>
  </si>
  <si>
    <t>Prasastha D</t>
  </si>
  <si>
    <t>Satya Lokesh Dharamavarapu</t>
  </si>
  <si>
    <t>U71HW20J</t>
  </si>
  <si>
    <t>Impact hackers</t>
  </si>
  <si>
    <t>Sriphani Dhanwanth</t>
  </si>
  <si>
    <t>Tharun Abhinay</t>
  </si>
  <si>
    <t>Sitaram</t>
  </si>
  <si>
    <t>UZ2O2K21</t>
  </si>
  <si>
    <t>Smart tech</t>
  </si>
  <si>
    <t>Hari Bilapudi</t>
  </si>
  <si>
    <t>Lavanya Chelle</t>
  </si>
  <si>
    <t>Anusha Dwarampudi</t>
  </si>
  <si>
    <t>Hackathon – Team Evaluation Sheet</t>
  </si>
  <si>
    <t>Enter marks in the yellow cells (max marks shown in row 4; criteria names &amp; max marks are placeholders – edit as needed). Total, Percentage and Track Rank calculate automatically. Members Present comes from the Attendance column on Team Wise. College/Branch/Year are shown once if the whole team is the same, otherwise one line per member in the same order as the names; Phone has one line per member.</t>
  </si>
  <si>
    <t>Max marks →</t>
  </si>
  <si>
    <t>Team No.</t>
  </si>
  <si>
    <t>Team Member Names</t>
  </si>
  <si>
    <t>Members</t>
  </si>
  <si>
    <t>Members Present</t>
  </si>
  <si>
    <t>Innovation / Idea</t>
  </si>
  <si>
    <t>Technical Implementation</t>
  </si>
  <si>
    <t>Feasibility / Impact</t>
  </si>
  <si>
    <t>Presentation &amp; Demo</t>
  </si>
  <si>
    <t>Total</t>
  </si>
  <si>
    <t>Percentage</t>
  </si>
  <si>
    <t>Rank in Track</t>
  </si>
  <si>
    <t>Remarks</t>
  </si>
  <si>
    <t>Pasham Akanksha Reddy
Srinivas Nayak Ramavath
Pasham Hrithik Reddy</t>
  </si>
  <si>
    <t>9652601387
7680028395
8985540655</t>
  </si>
  <si>
    <t>Vaggu Sahasra
krupalini kasoju
Gangapuram Sai Charan</t>
  </si>
  <si>
    <t>CSE (DS)
CIVIL
MECH</t>
  </si>
  <si>
    <t>9908982106
9100326179
9666895769</t>
  </si>
  <si>
    <t>Mikkilineni Pravarshitha
P Pranathi
SINGAM SAI HARSHITH</t>
  </si>
  <si>
    <t>8985359921
9381261938
7660042977</t>
  </si>
  <si>
    <t>Chathur M
Vaahini G
p sandeep</t>
  </si>
  <si>
    <t>AIDS
AIDS
CSE (DS)</t>
  </si>
  <si>
    <t>2nd Year
2nd Year
3rd Year</t>
  </si>
  <si>
    <t>9291619080
9391286222
7093447407</t>
  </si>
  <si>
    <t>Badugu Nigama
Nakarakanti Yuva Keerthi
Kan Kushi Kumari</t>
  </si>
  <si>
    <t>7032177918
8074382611
9490706546</t>
  </si>
  <si>
    <t>Praseeja Sunkari
Vanja Akshitha
B.Vaishnavi</t>
  </si>
  <si>
    <t>CSE (AI&amp;ML)
CSE (DS)
CSE (DS)</t>
  </si>
  <si>
    <t>7842731141
7569220914
7416127993</t>
  </si>
  <si>
    <t>Badavath vishnu
Boya mukesh
Janga chandan</t>
  </si>
  <si>
    <t>7396616379
7815858411
8247030165</t>
  </si>
  <si>
    <t>Sathu. Goutham Reddy
Gudipelli. Manoj
Kongari. Udayasree</t>
  </si>
  <si>
    <t>CSE (DS)
CSE (AI&amp;ML)
CSE (DS)</t>
  </si>
  <si>
    <t>9154184676
8179544286
6303036707</t>
  </si>
  <si>
    <t>Poloju vasavi
Mohammad saniya
Pittala harika</t>
  </si>
  <si>
    <t>9392793987
9848364850
6309460308</t>
  </si>
  <si>
    <t>Abhiram
Mohammad Arif
Sathish</t>
  </si>
  <si>
    <t>8008189293
8074047607
8712214574</t>
  </si>
  <si>
    <t>katakam supraja
N.arun
M ARAVIND</t>
  </si>
  <si>
    <t>9490948538
8639459203
6281094261</t>
  </si>
  <si>
    <t>Tejeshwar Reddy Addula
Byreddy Sushank Reddy
Chandaluri Sri Harsha</t>
  </si>
  <si>
    <t>7382838743
8332051480
9100865190</t>
  </si>
  <si>
    <t>Neha Reddy K
Koduri Sri Harsha
I Sahasra</t>
  </si>
  <si>
    <t>CSE (DS)
CSE
CSE (DS)</t>
  </si>
  <si>
    <t>7093677995
9652867531
9347883612</t>
  </si>
  <si>
    <t>Danthenapally Srivarshitha
Gollapalli Chakradhar Chary
Kota Uday Reddy</t>
  </si>
  <si>
    <t>CVR College of Engineering
Sri Venkateshwara College of Engineering
CVR College of Engineering</t>
  </si>
  <si>
    <t>6309934781
7013280417
9347004550</t>
  </si>
  <si>
    <t>Kasoju SpuranChandra
Maddineni Yashashwini
Pothuganti Sonalika</t>
  </si>
  <si>
    <t>9515067709
7793963851
8332044969</t>
  </si>
  <si>
    <t>Aasheerwad Sandhyapogu
Vishal reddy
Syed Omer</t>
  </si>
  <si>
    <t>7702363562
9849019832
7981537348</t>
  </si>
  <si>
    <t>Varshini Bodige
Harika Gummalla
Kancharla Manish Kumar</t>
  </si>
  <si>
    <t>9182392386
9121555751
9948437820</t>
  </si>
  <si>
    <t>Padarthi Divya Sri
Chirra Hasini
Chamakura Yamini</t>
  </si>
  <si>
    <t>9618719572
8341223438
7989609328</t>
  </si>
  <si>
    <t>Sashreek Reddy
Kanaparthy Aryan
Sai Chandrakanth</t>
  </si>
  <si>
    <t>9059949889
7416481279
6281696284</t>
  </si>
  <si>
    <t>Anthati Ruthika
Ithagoni Jyothsnasri
Kusuru Divya</t>
  </si>
  <si>
    <t>9705884131
9121954394
9391433725</t>
  </si>
  <si>
    <t>Yamini Thirumani
Puvvadi Sakhitha
Harshitha Puliroju</t>
  </si>
  <si>
    <t>7995693895
9398899334
6305406660</t>
  </si>
  <si>
    <t>Padakanti varsha
Ubbu Rohini
Palsam Maneesha</t>
  </si>
  <si>
    <t>6304218536
9603272908
9014710274</t>
  </si>
  <si>
    <t>chegurisahasra21
chegurisamaghna21
shivaniappala</t>
  </si>
  <si>
    <t>9573609225
9849747585
6304128615</t>
  </si>
  <si>
    <t>Chada Vaishnavi
Akshitha Deshagoni
Srividya Alubilli</t>
  </si>
  <si>
    <t>7702498268
9030380871
6281084832</t>
  </si>
  <si>
    <t>Chindam Keerthana
janipella sindhu
tadaka akhila</t>
  </si>
  <si>
    <t>8179992289
9573376307
8688196471</t>
  </si>
  <si>
    <t>Daroori Abhignya
S.Ruchitha
Tejaswi Pendyala</t>
  </si>
  <si>
    <t>8247203142
9866193388
9391281815</t>
  </si>
  <si>
    <t>Golconda Yeshwanth Kumar
Polepaka Mahesh
Velpula Vyshali</t>
  </si>
  <si>
    <t>7075320652
7013197272
9542224334</t>
  </si>
  <si>
    <t>G.Rishitha
K.shirisha
Gondi Soumya reddy</t>
  </si>
  <si>
    <t>7997182157
9652166330
9848546409</t>
  </si>
  <si>
    <t>Krishna Chaitanya Anugu
Nandini Yarramada
Ashna Reddy Gangapuram</t>
  </si>
  <si>
    <t>7780401460
9063401449
9393833639</t>
  </si>
  <si>
    <t>BHUDHALA MADHAVI
KASULA AKSHAYA
PREETHI BARADO</t>
  </si>
  <si>
    <t>8179752894
9032915256
9603554602</t>
  </si>
  <si>
    <t>SHIVANI KURMA
Ch Karthik
Shaik Momin</t>
  </si>
  <si>
    <t>9398471837
9493317442
9133153170</t>
  </si>
  <si>
    <t>Neelam Anjali
Nikhil Mudigonda
Srujana Sadhu</t>
  </si>
  <si>
    <t>4th Year
3rd Year
3rd Year</t>
  </si>
  <si>
    <t>9985859422
8341664756
9491516765</t>
  </si>
  <si>
    <t>Erra Akshitha
Varsha Mattaparthi
Damaraju guru Lakshmi manasa</t>
  </si>
  <si>
    <t>Sphoorthy Engineering College
Vignan Institute of Technology and Science
Matrusri Engineering College</t>
  </si>
  <si>
    <t>AI&amp;ML
CSE
IT</t>
  </si>
  <si>
    <t>9441830190
7989068069
6309804359</t>
  </si>
  <si>
    <t>Lingamgunta Pranav
Abhivarun Bashapaka
Shivashritej</t>
  </si>
  <si>
    <t>8179146995
9515659290
8179222881</t>
  </si>
  <si>
    <t>KARIVEDA ABHINAV REDDY
Kashamalla spandana
Ulloju anitha</t>
  </si>
  <si>
    <t>8985144115
9182364536
9014367708</t>
  </si>
  <si>
    <t>POLE RAVITEJA
Varahala Vishal
Yashraj Bhuvakar</t>
  </si>
  <si>
    <t>Vardhaman College of Engineering
VMEG
VMEG</t>
  </si>
  <si>
    <t>IT
ECE
ECE</t>
  </si>
  <si>
    <t>7569057424
9701417442
7386614171</t>
  </si>
  <si>
    <t>Katkuri Lohitha
Sravani Nomula
Sowmya Patnam</t>
  </si>
  <si>
    <t>7386202278
9505472736
8374564428</t>
  </si>
  <si>
    <t>Bidarani Swathika
Kannareddy Sriharini
Sathuri Kavya</t>
  </si>
  <si>
    <t>8985668619
8978132468
9441082597</t>
  </si>
  <si>
    <t>Kavya deepika
Hemasri
Lakshmi prassana</t>
  </si>
  <si>
    <t>CSE
CSE (DS)
CSE (DS)</t>
  </si>
  <si>
    <t>9494880185
8125617760
9490082345</t>
  </si>
  <si>
    <t>MARAM KARTHIK REDDY
ENDHURI RAGHU
VADIKARI KALYAN</t>
  </si>
  <si>
    <t>8186971796
7093332320
6304255210</t>
  </si>
  <si>
    <t>NENAVATH RAM CHETAN NAYAK
Bheemagani Sai Varshit Goud
Palakurla Raghavendra Goud</t>
  </si>
  <si>
    <t>9182330474
9381651962
9059736124</t>
  </si>
  <si>
    <t>Sudeepthi Chinnala
Bandi Laxmi Deepak
Pothuganti Samreen</t>
  </si>
  <si>
    <t>8332881265
8247770962
9182949562</t>
  </si>
  <si>
    <t>VELURU SUPRITHA
C.V.VAISHNAVI
C.SREEVIDYA REDDY</t>
  </si>
  <si>
    <t>8309609041
7382695671
6302517655</t>
  </si>
  <si>
    <t>Pininti Sandeep Reddy
Salivoju Shashikiran
Amireddy Ram charan Reddy</t>
  </si>
  <si>
    <t>9059340657
8341620419
8074820329</t>
  </si>
  <si>
    <t>POOJITH GOVINDARAJULA
MUTHYALA ANANYA
ABHIRAAM AERUKONDA</t>
  </si>
  <si>
    <t>8555928347
8919338676
8985237853</t>
  </si>
  <si>
    <t>M. Samuel Justin
K.Siddharth
M. Akshay Varshith</t>
  </si>
  <si>
    <t>8134127379
9505437046
8885002067</t>
  </si>
  <si>
    <t>Pravalika Umaji
Soma Sai Vaishnavi
Keerthi Reddy</t>
  </si>
  <si>
    <t>Vignan Institute of Technology and Science
Vignan Institute of Technology and Science
Maturi Venkata Subba Rao Engineering College (MVSR)</t>
  </si>
  <si>
    <t>CSE (DS)
CSE (DS)
CSE</t>
  </si>
  <si>
    <t>9391375254
7093625197
9495989999</t>
  </si>
  <si>
    <t>Jeshwanth Sura
Tharun Pandugula
Santhosh Revalli</t>
  </si>
  <si>
    <t>9398020156
7981767311
9989570190</t>
  </si>
  <si>
    <t>KASULA NANDA RAMESH
Dahagama Sreeshanth
Anunay Anumasa</t>
  </si>
  <si>
    <t>7232888276
9381501331
7659932027</t>
  </si>
  <si>
    <t>MD ISMAIL ANSARI
A Lucky
K.Chethan</t>
  </si>
  <si>
    <t>8235520824
8309838926
7601006224</t>
  </si>
  <si>
    <t>Vulli Mokshasri
Bandela Shriya
Bhoomika Podduturi</t>
  </si>
  <si>
    <t>9182549412
8341714544
7989485147</t>
  </si>
  <si>
    <t>Lavanam Hansika
Ariba Naaz
Sirishala Ganesh</t>
  </si>
  <si>
    <t>CSE
CSE
CSE (AI&amp;ML)</t>
  </si>
  <si>
    <t>7995654961
9110579227
9392160482</t>
  </si>
  <si>
    <t>Patil.RamyaSri
Singireddy.Siri
Yellanki.Sirivennela</t>
  </si>
  <si>
    <t>8341507702
7386864751
7095891137</t>
  </si>
  <si>
    <t>Miryala Akshitha
Donuru spoorthi
Surakanti Sowmya</t>
  </si>
  <si>
    <t>CSE
AIDS
CSE</t>
  </si>
  <si>
    <t>9000528288
8332864311
7569280623</t>
  </si>
  <si>
    <t>Valleti Bhuvana
Vemparala Jyothika
Jarupula Sneha</t>
  </si>
  <si>
    <t>9701430714
9848136515
8897506943</t>
  </si>
  <si>
    <t>Jasmitha Kuppala
Gayathri Gorugantula
Vuppala Rithvik</t>
  </si>
  <si>
    <t>9395543838
7993920531
7675054385</t>
  </si>
  <si>
    <t>Bathini Tulasi
Bathini Shravani
Udugula Bhavani</t>
  </si>
  <si>
    <t>Vignan's Institute of Management and Technology for Women (VMTW)
BVRW
Vignan's Institute of Management and Technology for Women (VMTW)</t>
  </si>
  <si>
    <t>3rd Year
2nd Year
3rd Year</t>
  </si>
  <si>
    <t>9014711657
7993837212
8179217915</t>
  </si>
  <si>
    <t>M. Sai Rishitha
N.Harini
V. Akshaya</t>
  </si>
  <si>
    <t>8179722970
7075533909
8978346652</t>
  </si>
  <si>
    <t>Varshini Marthy
Gayathri Methuku
Soumya Jakkulwar</t>
  </si>
  <si>
    <t>CSE
CSE
IT</t>
  </si>
  <si>
    <t>7671819408
9032388119
8179569930</t>
  </si>
  <si>
    <t>Gundampalli Pranatheeshwari
Vokkerla Anushna
Yendapalli Devayani</t>
  </si>
  <si>
    <t>7013761303
9392265252
8639937320</t>
  </si>
  <si>
    <t>Kaja Naga Sai Neha
Murki Rishika
Chirra Harshini</t>
  </si>
  <si>
    <t>7675050483
9063644384
9704223438</t>
  </si>
  <si>
    <t>Dharavath Santhosh
Sura Rithwika
Chinavath Maheshwari</t>
  </si>
  <si>
    <t>8897747716
9281416550
8523872380</t>
  </si>
  <si>
    <t>Varshitha
Renusri
Siri</t>
  </si>
  <si>
    <t>8341738479
7893409216
9652029595</t>
  </si>
  <si>
    <t>Yerra Hemanth Reddy
K . Nikhil
Chityala Divyansh</t>
  </si>
  <si>
    <t>8919233514
7993529040
8328212216</t>
  </si>
  <si>
    <t>Battini Navya Sri
Gummuluri Durga Priyanka
Pullemla Akshara Krupa</t>
  </si>
  <si>
    <t>8519890464
8074218415
9989260349</t>
  </si>
  <si>
    <t>Ananthala Sanjana
Chimmula Akshitha
Ganji Shivani</t>
  </si>
  <si>
    <t>7032614095
9912931952
7386765948</t>
  </si>
  <si>
    <t>Pooja Madhuri Danduprolu
B. Veera durgasri
Ch.Haripriya</t>
  </si>
  <si>
    <t>6301332400
7396764088
7780480106</t>
  </si>
  <si>
    <t>Grishmitha Yarlagadda
Gouni Druthi
Dellapurlolu Sai Kiran</t>
  </si>
  <si>
    <t>7416365949
8008803379
9346098128</t>
  </si>
  <si>
    <t>RAJKUMAR MANEM
CHILUVERU ADITHYA
RAMPALLI KOUSHIK</t>
  </si>
  <si>
    <t>9392567033
9640901192
6300500804</t>
  </si>
  <si>
    <t>Akshara Boddoju
Adepu shiva kumar
Garikapati kundana</t>
  </si>
  <si>
    <t>Stanley Engineering College
DRK Institute of Science and Technology
Vignan's Institute of Management and Technology for Women (VMTW)</t>
  </si>
  <si>
    <t>8555945464
7569918817
8919745409</t>
  </si>
  <si>
    <t>Sankarapu Kausalya
Valishetti Himabindhu
Saika Kolluri</t>
  </si>
  <si>
    <t>Vignan Institute of Technology and Science
Vignan Institute of Technology and Science
Holy Mary Institute of Technology and Science</t>
  </si>
  <si>
    <t>8555946421
9346713791
8790840903</t>
  </si>
  <si>
    <t>Sneha Nomula
Vennamaneni Harshini
Tallapally Manognya</t>
  </si>
  <si>
    <t>9381130962
8639144995
9154508984</t>
  </si>
  <si>
    <t>Dhanush
Ashritha M
Narotham</t>
  </si>
  <si>
    <t>7901499699
8985889036
9346960067</t>
  </si>
  <si>
    <t>Pulamoni Naveen
G. Koushik
rebelli ashok</t>
  </si>
  <si>
    <t>7013885070
9515857811
8919591926</t>
  </si>
  <si>
    <t>Ravula Koushik Reddy
Guduru Revanth Reddy
Jagaraspalli Arshad mohammad</t>
  </si>
  <si>
    <t>9948408216
8885690661
9640625522</t>
  </si>
  <si>
    <t>SAATU NAVYA
SANDHI MOUNIKA
MACHANAPALLY VISHAL GOUD</t>
  </si>
  <si>
    <t>9912390007
9063598811
9182832455</t>
  </si>
  <si>
    <t>Sadwik Bussala
Alugubelli Lokesh Reddy
Sanjay Reddy Adulla</t>
  </si>
  <si>
    <t>9676439097
7670985522
9182435905</t>
  </si>
  <si>
    <t>Abbendha lokesh chandra
Sukanti manasa
Palle Jaswanth reddy</t>
  </si>
  <si>
    <t>7993062038
9989384694
7093931689</t>
  </si>
  <si>
    <t>A.Navatej
U.Khageswararao
Ch.Mahaveer</t>
  </si>
  <si>
    <t>7569086727
9110504494
8008255141</t>
  </si>
  <si>
    <t>Kunchala kavya
Kunchala chethana priya
Gajula Abhiram</t>
  </si>
  <si>
    <t>Vignan Institute of Technology and Science
Ellenki College of Engineering and Technology
JNTU Hyderabad</t>
  </si>
  <si>
    <t>CSE (AI&amp;ML)
CSE
ECE</t>
  </si>
  <si>
    <t>4th Year
1st Year
Postgraduate</t>
  </si>
  <si>
    <t>9542222197
9542222199
8688226299</t>
  </si>
  <si>
    <t>Myle Tejaswini
Mrudula Nalabothu
Chidimillasruthiswaraj</t>
  </si>
  <si>
    <t>8247722834
9398756567
8121648699</t>
  </si>
  <si>
    <t>KARRE AMRITHA KUMAR
DONTHULA AKSHARA
DHULAM ARAVIND</t>
  </si>
  <si>
    <t>9849999234
9987128598
6300298946</t>
  </si>
  <si>
    <t>Sathwika Hanumanthula
Anna Srija
P Sai Geethika</t>
  </si>
  <si>
    <t>7386382512
7601092610
8639931455</t>
  </si>
  <si>
    <t>Amruthasri Burra
Hansika Amilpur
Saniya Shaik</t>
  </si>
  <si>
    <t>8790723583
9059208072
8106187274</t>
  </si>
  <si>
    <t>Jyothi sri
Srihasini
Smruthika</t>
  </si>
  <si>
    <t>9391320303
8978984011
9441093660</t>
  </si>
  <si>
    <t>Singabhat Lahari
Chilimikoti Dhikshitha
Tokala Sai Amulya Reddy</t>
  </si>
  <si>
    <t>7416163634
8885293880
9640749689</t>
  </si>
  <si>
    <t>Uppalapati Varshini
Yeddula Rohith Reddy
Aredla Dileep Reddy</t>
  </si>
  <si>
    <t>7032821892
6303283747
6303868419</t>
  </si>
  <si>
    <t>Y.Srujana
Sana Nousheen
Vanguri Deepika</t>
  </si>
  <si>
    <t>8106392833
8978749992
8096433999</t>
  </si>
  <si>
    <t>Edarapalli Naren
S.Monitha
Maddala Sushmitha</t>
  </si>
  <si>
    <t>SCSVMV University
Aditya Degree College, Palakol
Vishnu College, Bhimavaram</t>
  </si>
  <si>
    <t>AI&amp;ML
BCA
CIVIL</t>
  </si>
  <si>
    <t>6303737948
9959233147
9346426326</t>
  </si>
  <si>
    <t>DAMA Akshitha
M.Bhavana netha
A.Navitha</t>
  </si>
  <si>
    <t>7989774381
7893219279
6303296272</t>
  </si>
  <si>
    <t>A.Anji
Pagadala Sridevi
B.Pooja</t>
  </si>
  <si>
    <t>8121481089
7075042447
9573857246</t>
  </si>
  <si>
    <t>bindu enugula
Niveditha Kukunoori
Raveena Sarikonda</t>
  </si>
  <si>
    <t>9052628633
9676175782
8985579450</t>
  </si>
  <si>
    <t>Ranga Pranathi
Cheruku Amisha
Dudigama Shivani</t>
  </si>
  <si>
    <t>9866812154
9676922849
7337444539</t>
  </si>
  <si>
    <t>Anuj Arun Kumar
Ramtenki abhinay
Kandadi Shiva charan Reddy</t>
  </si>
  <si>
    <t>7093224401
8712528025
9849231504</t>
  </si>
  <si>
    <t>Pratigya Singh
Hemanth Nirmal.A
Nirmal tej reddy.P</t>
  </si>
  <si>
    <t>7989564372
7702172072
7075289087</t>
  </si>
  <si>
    <t>Bodi Sai Anirudh
Yadagani Sharanya
Sri Hasini Lella</t>
  </si>
  <si>
    <t>6303167158
7780221108
7981295175</t>
  </si>
  <si>
    <t>Jival Sai Rama Gonuguntla
Varshith vuppula
Anshul</t>
  </si>
  <si>
    <t>9182955334
7842777804
9642174414</t>
  </si>
  <si>
    <t>Polagoni Ruchy Ram
Gajjela Maneesh
Mohd Akmal</t>
  </si>
  <si>
    <t>8897478377
7799179909
8639183519</t>
  </si>
  <si>
    <t>Venkat Vivek
Maharshi Karthik
Siddharth</t>
  </si>
  <si>
    <t>CSE (DS)
CSE (AI&amp;ML)
CSE (AI&amp;ML)</t>
  </si>
  <si>
    <t>9701543137
7981367290
6304783844</t>
  </si>
  <si>
    <t>Kadali Rakshith Satya Sai
Kambhampati Sai Mohanth
Komirelli Karthik Reddy</t>
  </si>
  <si>
    <t>8125015031
9160982448
7207728842</t>
  </si>
  <si>
    <t>AJAY KUMAR
SHIVA KUMAR
SRIDHAR</t>
  </si>
  <si>
    <t>7396634983
8790552332
9703790107</t>
  </si>
  <si>
    <t>Sreshta Dravidam
Kalappagari Sai Abhiram
Moukthika Arerapu</t>
  </si>
  <si>
    <t>G Narayanamma Institute of Technology and Science (GNITS)
Vignan Institute of Technology and Science
Vignan Institute of Technology and Science</t>
  </si>
  <si>
    <t>ECE
CSE (DS)
MECH</t>
  </si>
  <si>
    <t>9908352052
6304586235
9959167896</t>
  </si>
  <si>
    <t>Poojitha Padamata
Swetha Erukala
Bhavani Errajelli</t>
  </si>
  <si>
    <t>7386395944
9951458854
8142455081</t>
  </si>
  <si>
    <t>TELU CHANDRA SHEKHAR RAO
Sk zainab hussain
P. Meghana</t>
  </si>
  <si>
    <t>6302511789
8019607278
7330693136</t>
  </si>
  <si>
    <t>Katam Hasini
Jetti Poojitha
Koya Sunaina Raisy</t>
  </si>
  <si>
    <t>6309405736
9392827978
6302419860</t>
  </si>
  <si>
    <t>Thota Siddarth
Matta Ashitha
Arvapally Nayana Sri</t>
  </si>
  <si>
    <t>Keshav Memorial Institute of Technology (KMIT)
Geethanjali College of Engineering and Technology
Geethanjali College of Engineering and Technology</t>
  </si>
  <si>
    <t>3rd Year
2nd Year
2nd Year</t>
  </si>
  <si>
    <t>8096261001
6309974515
9392066355</t>
  </si>
  <si>
    <t>Loudya Sathish
Nunavath pawan Kalyan
Mandireddy  Varshitha</t>
  </si>
  <si>
    <t>CSE
CSE (AI&amp;ML)
CSE (AI&amp;ML)</t>
  </si>
  <si>
    <t>9390451053
7780313743
9494469572</t>
  </si>
  <si>
    <t>Sreeraj Thalappalli
Atharva Malgatti
Naqhi Niazi</t>
  </si>
  <si>
    <t>AI&amp;ML
AI&amp;ML
IT</t>
  </si>
  <si>
    <t>7306221632
9322380971
7021677094</t>
  </si>
  <si>
    <t>Vaibhav patel
Haraha setti
Pramod</t>
  </si>
  <si>
    <t>7661078858
9515716982
8978306402</t>
  </si>
  <si>
    <t>Singam samuel
Jetti ashok
Gulli sainikhil</t>
  </si>
  <si>
    <t>7075014752
8074062781
9398151017</t>
  </si>
  <si>
    <t>B PRATEEK
K SUHAS YADAV
P SRIVATSAV</t>
  </si>
  <si>
    <t>9494018532
7013061636
7732006797</t>
  </si>
  <si>
    <t>Juveria Nazmeen
MOHAMMED ABDUL KALAM
ALURU PRABHAS</t>
  </si>
  <si>
    <t>CSE (AI&amp;ML)
CSE (AI&amp;ML)
CSE (DS)</t>
  </si>
  <si>
    <t>6300492375
8121305468
7893193016</t>
  </si>
  <si>
    <t>Badugu Naga Dinesh
Muddam Srija
Mote Udaya Sri</t>
  </si>
  <si>
    <t>Vignan Institute of Technology and Science
Vignan Institute of Technology and Science
VBIT</t>
  </si>
  <si>
    <t>9121257159
8919726646
9948102961</t>
  </si>
  <si>
    <t>Sunkara Rithika
Krishna Mani
Gunamgari Vaishnavi Reddy</t>
  </si>
  <si>
    <t>8374542406
9912957046
8919997269</t>
  </si>
  <si>
    <t>Manideepika
Varuna sree
Vaishnavi</t>
  </si>
  <si>
    <t>9059748730
9492715267
6300972462</t>
  </si>
  <si>
    <t>Theerdhitha Damerla
Vaishali Manchukonda
Varsha Jeedimadla</t>
  </si>
  <si>
    <t>CMR Institute of Technology
VNR VJIET
CVR College of Engineering</t>
  </si>
  <si>
    <t>9391238553
9390268407
8341297412</t>
  </si>
  <si>
    <t>Atinarapu Karthik
Muzakkir mira Baig
Mohammed Ashraf</t>
  </si>
  <si>
    <t>9492421154
8179695198
9951702522</t>
  </si>
  <si>
    <t>V.Devasmitha
A.Jaswanth
K.Sathwika</t>
  </si>
  <si>
    <t>7337518813
8978855985
7989409706</t>
  </si>
  <si>
    <t>Kevin Anthony Rozario
Rithvik Reddy
Potu Puneeth</t>
  </si>
  <si>
    <t>8520086208
7995230608
7702561717</t>
  </si>
  <si>
    <t>Aashrith Gupta
Nitika krishna.K
Khushi Thalla</t>
  </si>
  <si>
    <t>8248049855
9030828356
8897483147</t>
  </si>
  <si>
    <t>Nikhitha vanamala
Chityala Manaswini Reddy
M.saiHarshitha</t>
  </si>
  <si>
    <t>6301320351
6300328141
9121864252</t>
  </si>
  <si>
    <t>Ande Akshith
Madhav
Varshith</t>
  </si>
  <si>
    <t>9000070048
9989286552
9000491011</t>
  </si>
  <si>
    <t>Kemburi Shanmuk Naidu
Nampally Sai Santosh
Ailu Spandana</t>
  </si>
  <si>
    <t>Vignan Institute of Technology and Science
Vignan Institute of Technology and Science
Sree Nidhi Institute of Science and Technology</t>
  </si>
  <si>
    <t>CSE (AI&amp;ML)
CSE (AI&amp;ML)
CSE</t>
  </si>
  <si>
    <t>9121849315
6303589435
9704442431</t>
  </si>
  <si>
    <t>GOUNI NIKHIL GOUD
N Karthik
M Nishitha</t>
  </si>
  <si>
    <t>7416423426
9440819844
8125987092</t>
  </si>
  <si>
    <t>Aparna Ivaturi
PANDUGULA RUSHI
NITHISH NANJUTI</t>
  </si>
  <si>
    <t>9392899958
8523835015
9392844521</t>
  </si>
  <si>
    <t>A.LaxmiKishore
B.ShubanSai
S.JayaPrakash</t>
  </si>
  <si>
    <t>9063455200
8978698459
9505199866</t>
  </si>
  <si>
    <t>Gagan adithya
T.Arjun
K.Lohith</t>
  </si>
  <si>
    <t>8919264938
6303808270
9391450562</t>
  </si>
  <si>
    <t>Mummidivarapu Sushanth
Atharva Jaiswal
Joshua Jacinth</t>
  </si>
  <si>
    <t>9949316427
8121280791
7032251597</t>
  </si>
  <si>
    <t>Ch.Advaith Chalam
T.Uday Kiran
K.VIkram</t>
  </si>
  <si>
    <t>CSE
CSE
CSE (DS)</t>
  </si>
  <si>
    <t>8310179831
8247077137
8179266504</t>
  </si>
  <si>
    <t>Shaik Aifaz
Pala Aishwarya
Pabba Sai Harsha</t>
  </si>
  <si>
    <t>Vignan Institute of Technology and Science
Vignan Institute of Technology and Science
Kasireddy Narayanreddy College of Engineering</t>
  </si>
  <si>
    <t>IT
CSE
CSE (AI&amp;ML)</t>
  </si>
  <si>
    <t>9390896534
9676170890
9110398116</t>
  </si>
  <si>
    <t>Vadla Vagdevi
Thota.Sahasra
V. Nikitha</t>
  </si>
  <si>
    <t>2nd Year
1st Year
2nd Year</t>
  </si>
  <si>
    <t>9100983157
7794861904
9063619606</t>
  </si>
  <si>
    <t>Shaik Nazia
N.Manikanta
V.Nandhu</t>
  </si>
  <si>
    <t>6305710842
9154737311
9392975220</t>
  </si>
  <si>
    <t>Yuvana ganga
N.Tanvi Sri
Laya reddy</t>
  </si>
  <si>
    <t>9398218441
6303655086
6302912010</t>
  </si>
  <si>
    <t>LAKSHMI NARASIMHA REDDY MARAM
RISHI RAJ
Ravi Shankar</t>
  </si>
  <si>
    <t>8019015526
7396956081
8125947299</t>
  </si>
  <si>
    <t>Chennuri Sai Manogna
Bikkumalla Pranathi
Adavath Umesh</t>
  </si>
  <si>
    <t>6302231557
9177215202
9908087717</t>
  </si>
  <si>
    <t>Peramalla Akshara
Puneeth Raja kushana
P.mounika</t>
  </si>
  <si>
    <t>CSE (AI&amp;ML)
AI&amp;ML
CSE (AI&amp;ML)</t>
  </si>
  <si>
    <t>9392489562
9912348041
7396381618</t>
  </si>
  <si>
    <t>Tejdeep Munjampally
B V Pavan Kalyan
Gurjapalli Srujan Anirudh</t>
  </si>
  <si>
    <t>7569784079
6300874602
9063087602</t>
  </si>
  <si>
    <t>Kanumanoori Akshitha
Mandala Spoorthi</t>
  </si>
  <si>
    <t>CSE (AI&amp;ML)
CSE (DS)</t>
  </si>
  <si>
    <t>7396873332
9666305257</t>
  </si>
  <si>
    <t>Alasakani Teja Sri
Kattekola Varshitha
Karamsetti Satvik Umesh</t>
  </si>
  <si>
    <t>9182259345
8341497261
6302307253</t>
  </si>
  <si>
    <t>Rajarikam Ashish
Rayala Vamshi Krishna
Gundu Akhil Goud</t>
  </si>
  <si>
    <t>CSE (AI&amp;ML)
CSE
CSE (AI&amp;ML)</t>
  </si>
  <si>
    <t>9989813126
9866365084
7981447707</t>
  </si>
  <si>
    <t>Sriram.varun Kumar
Gude Nikhil
Ramavath Ganesh</t>
  </si>
  <si>
    <t>CSE (DS)
AI&amp;ML
CSE (DS)</t>
  </si>
  <si>
    <t>9010489345
8125718484
9542664155</t>
  </si>
  <si>
    <t>Mokkuroju Mithila Sai
Myathari Sanjana
Kokkarakunta Sharanya</t>
  </si>
  <si>
    <t>8520946284
9908343586
7702184591</t>
  </si>
  <si>
    <t>Seela Chandrika
Rati  Niharika
Singapanga Srivani</t>
  </si>
  <si>
    <t>9110378192
9000862236
9963510590</t>
  </si>
  <si>
    <t>THIMMAPURAM SIDDHARTHA
Sai sharan bantu
Vamshi krishna</t>
  </si>
  <si>
    <t>ECE
CSE
IT</t>
  </si>
  <si>
    <t>9110515171
7989203531
6309042609</t>
  </si>
  <si>
    <t>Ruthwik Reddy
Akshay kumar
Kaushik</t>
  </si>
  <si>
    <t>8328411981
8464003390
9441789192</t>
  </si>
  <si>
    <t>Aavula venkatesh
Bairu Tejaswini
Chitikela Sravya Sri</t>
  </si>
  <si>
    <t>9573364805
8121360378
7993799165</t>
  </si>
  <si>
    <t>TIRUMALA VENKATA ADITYA
Gollapudi Sai Ranga Asish
Jaswanth Saminepally</t>
  </si>
  <si>
    <t>9346423850
9963053244
7893965456</t>
  </si>
  <si>
    <t>G.Laxmi Prasanna
Vuduthala sreeja
S.Varshitha</t>
  </si>
  <si>
    <t>9063648503
9490363245
7036914265</t>
  </si>
  <si>
    <t>MURIKIPUDI NIKHIL
MANDALOJU VISHWAJITH
VISWANADULA PHANINDRA</t>
  </si>
  <si>
    <t>7702646263
9849093628
9391110454</t>
  </si>
  <si>
    <t>Gunturi Venkata Sri Raghavendra
OGIRALA VENKATA ANJANEYA PHANINDRA
Kartheek Hasanabada</t>
  </si>
  <si>
    <t>6281691232
9063008379
6303102806</t>
  </si>
  <si>
    <t>SPOORTHI VADLAKONDA
S SAI MANASA
S SAI VARSHIT</t>
  </si>
  <si>
    <t>7075206924
7337560806
6305041671</t>
  </si>
  <si>
    <t>Pujitha Varikuppala
Srividhya Motapalukula
Poojitha Sambeti</t>
  </si>
  <si>
    <t>7780687485
7989498425
6300204960</t>
  </si>
  <si>
    <t>Ettamoni Navya
Bandi ArunKumar
Akula SriLekha</t>
  </si>
  <si>
    <t>7794803804
9398408354
9381754093</t>
  </si>
  <si>
    <t>THIRUGAMALLA AMULYA
KOLANUPAKA HARSHINI
BODDUPALLI JOSHIKA</t>
  </si>
  <si>
    <t>9014673529
9704908887
7093908974</t>
  </si>
  <si>
    <t>GOWTHAM J
HAASIKA G
P THARIKA</t>
  </si>
  <si>
    <t>7569586412
7780495007
9182988229</t>
  </si>
  <si>
    <t>Abhilash Nallagula
Ujjwal Shreyas
Mitul Nayakwadi</t>
  </si>
  <si>
    <t>CSE (DS)
CSE
CSE</t>
  </si>
  <si>
    <t>9703322015
6302759866
7013323577</t>
  </si>
  <si>
    <t>PAGIDIPALLI SUNNYKIRAN
GUNDA SWARAN
Kolipaka vishal</t>
  </si>
  <si>
    <t>7993030010
8328617621
8688838685</t>
  </si>
  <si>
    <t>Nithin sai
Mikkilineni sumana sri
Sai Teja</t>
  </si>
  <si>
    <t>9703613458
9603613458
9502956808</t>
  </si>
  <si>
    <t>Boya Siri
Thanniru Sravani
M Harshitha</t>
  </si>
  <si>
    <t>8688213994
8247206884
7989716343</t>
  </si>
  <si>
    <t>G venkata satvik
Pola Sadhika
Eslavath varun</t>
  </si>
  <si>
    <t>Vignan Institute of Technology and Science
Vignan Institute of Technology and Science
CVR College of Engineering</t>
  </si>
  <si>
    <t>9347894341
7842514989
8187099935</t>
  </si>
  <si>
    <t>MUSHTIPALLY SHRAVYA SHRUTHI
NETHALLA ANUSRI
KOMIRELLY SNEHA</t>
  </si>
  <si>
    <t>9550250405
9390750640
7075991881</t>
  </si>
  <si>
    <t>Sri Charan Varma P
Shivadeekshith Reddy S
R Sree Sai Lochan</t>
  </si>
  <si>
    <t>7013787104
9640861234
9966009403</t>
  </si>
  <si>
    <t>A. Prudhvi Ranga Reddy
Neerup Kiran
K. Nikhil</t>
  </si>
  <si>
    <t>9581887427
8143817479
8074905723</t>
  </si>
  <si>
    <t>Mythri Machanagari
Akifa Rana
Pingali Akshitha</t>
  </si>
  <si>
    <t>6301219971
6304065200
9100771954</t>
  </si>
  <si>
    <t>Katakam Athiksh
Vaishnavi Kodandapani
Kanchi shanmukha nagendri</t>
  </si>
  <si>
    <t>7680946118
8688346199
8106671073</t>
  </si>
  <si>
    <t>TRIKUTA NEELAKANTAM
BHARATH NATH
P NAGA ROSHINI</t>
  </si>
  <si>
    <t>Vignan Institute of Technology and Science
Vignan Institute of Technology and Science
Vignan's Institute of Management and Technology for Women (VMTW)</t>
  </si>
  <si>
    <t>CSE (DS)
CSE (DS)
CSE (AI&amp;ML)</t>
  </si>
  <si>
    <t>8330963307
9581047117
7386122323</t>
  </si>
  <si>
    <t>Niharika karney
Sharanaya
Likhitha Reddy</t>
  </si>
  <si>
    <t>9392535204
7075612886
9398637556</t>
  </si>
  <si>
    <t>Raja Murugesh
Patti Vinay Kumar
Butti Meghana</t>
  </si>
  <si>
    <t>2nd Year
2nd Year
4th Year</t>
  </si>
  <si>
    <t>8247514341
9392513435
6303109207</t>
  </si>
  <si>
    <t>J.Harshad Kumar
k.sai kruthika
v.yagnesh kumar</t>
  </si>
  <si>
    <t>8309972649
7569841329
9030955082</t>
  </si>
  <si>
    <t>Nakka Sreenitya
Pendem vinay
V Sai charan</t>
  </si>
  <si>
    <t>CSE (DS)
CSE (DS)
MECH</t>
  </si>
  <si>
    <t>3rd Year
3rd Year
4th Year</t>
  </si>
  <si>
    <t>7672060178
8919814429
7386951961</t>
  </si>
  <si>
    <t>VENEPALLI AJAY KRUTHIK SAI
VANAPALLY PRANEETH REDDY
Srinidhimaringnati</t>
  </si>
  <si>
    <t>ECE
CSE
CSE (AI&amp;ML)</t>
  </si>
  <si>
    <t>6281035202
8978881882
9398501119</t>
  </si>
  <si>
    <t>GSN MURTHY
K.BHAVANA
PRATHEEK REDDY</t>
  </si>
  <si>
    <t>9491945495
7993802408
7386472901</t>
  </si>
  <si>
    <t>Sneha Ganimukkula
Naga Vaishnavi
Harshitha Paramala</t>
  </si>
  <si>
    <t>9866453590
6309088121
9063335235</t>
  </si>
  <si>
    <t>John bunyan Anaparthi
D.SAI TEJA NAYAK
Jadav ritesh</t>
  </si>
  <si>
    <t>7680045742
7093897405
9550630981</t>
  </si>
  <si>
    <t>Arukala vijayanand
Kondoju Santosh
Gundla Siddhartha</t>
  </si>
  <si>
    <t>8639672027
7981399618
8125298916</t>
  </si>
  <si>
    <t>Haneef Mohammad
Billapati Yashwanth Reddy
Mothuku Keerthana</t>
  </si>
  <si>
    <t>9676208652
9441819445
9100524513</t>
  </si>
  <si>
    <t>maithrika banda
Baigani Prabhu Teja
Manga Vikram</t>
  </si>
  <si>
    <t>Vignan Institute of Technology and Science
Vignan Institute of Technology and Science
Matrusri Engineering College</t>
  </si>
  <si>
    <t>CSE (DS)
EEE
CSE (DS)</t>
  </si>
  <si>
    <t>8008804364
9963973677
9848306153</t>
  </si>
  <si>
    <t>Kambhalapalli srinadh
Chinthala shiva rama krishna
Bollam Ajay</t>
  </si>
  <si>
    <t>7032363755
7670986689
7396967187</t>
  </si>
  <si>
    <t>Ghanta Kowshik Kumar
Yandamuri Venkat
Bommisetty Pranava Sree</t>
  </si>
  <si>
    <t>4th Year
2nd Year
2nd Year</t>
  </si>
  <si>
    <t>9652491275
9492513338
8977527418</t>
  </si>
  <si>
    <t>Cheguri Varshasree
Bujagouni Sakshitha
Ravula Ashvitha</t>
  </si>
  <si>
    <t>8125192448
9490509459
6305566155</t>
  </si>
  <si>
    <t>VAMANABATLA SAMANVITHA SHARMA
Alladi Anjana Sri
Binnala Ritu</t>
  </si>
  <si>
    <t>9911998448
9248439709
6309845685</t>
  </si>
  <si>
    <t>Valaboju Hamsika
S.Arthi
Jahnavi</t>
  </si>
  <si>
    <t>AIDS
AIDS
CSE</t>
  </si>
  <si>
    <t>9440801653
9666122276
8712197493</t>
  </si>
  <si>
    <t>VISHNU VARDHAN CHIRRAPU
Nimmala Indu
Bhukya Monali</t>
  </si>
  <si>
    <t>IT
AIDS
CSE (DS)</t>
  </si>
  <si>
    <t>3rd Year
4th Year
2nd Year</t>
  </si>
  <si>
    <t>9392980085
6304336527
9392458375</t>
  </si>
  <si>
    <t>Talasani Mithul Reddy
C Harshit
J Sai Jashwanth</t>
  </si>
  <si>
    <t>9948743042
9381258576
9494329249</t>
  </si>
  <si>
    <t>Afsha Mehreen
Tarini
Yamini</t>
  </si>
  <si>
    <t>7702952655
8019029777
8125664708</t>
  </si>
  <si>
    <t>Akhil Jammula
Aerasani Pradeepthi
Sai samhitha</t>
  </si>
  <si>
    <t>Vignan Institute of Technology and Science
Anurag University
Matrusri Engineering College</t>
  </si>
  <si>
    <t>9494297547
8019196392
7396291925</t>
  </si>
  <si>
    <t>M.Sajay
S.sri Manikandan
Kanhaiya lal dindor</t>
  </si>
  <si>
    <t>7871090927
8428401607
9509374598</t>
  </si>
  <si>
    <t>Bhanu Teja Gupta Vuppu
Md Muzaffar
B Saharsha</t>
  </si>
  <si>
    <t>9440394651
6300045034
9063123199</t>
  </si>
  <si>
    <t>Shaik Shaher Bano Noorjahan
Vedere Siri Chandana Reddy
B.Divya</t>
  </si>
  <si>
    <t>9963004559
9182614305
9390598541</t>
  </si>
  <si>
    <t>Srinidhi Narani
Sathwika Reddy Gade
Ristesh kota</t>
  </si>
  <si>
    <t>Vignan Institute of Technology and Science
Vignan Institute of Technology and Science
Mahindra University</t>
  </si>
  <si>
    <t>CSE (DS)
AIDS
CSE (DS)</t>
  </si>
  <si>
    <t>3rd Year
3rd Year
2nd Year</t>
  </si>
  <si>
    <t>6309637995
9676834000
8332907441</t>
  </si>
  <si>
    <t>D.Bharanish
K.Tejaswini
N.Koushal</t>
  </si>
  <si>
    <t>7396337438
95737361258
9014001844</t>
  </si>
  <si>
    <t>T vikram
M Vishal
P harshith</t>
  </si>
  <si>
    <t>9705048160
7330869671
8121732531</t>
  </si>
  <si>
    <t>Tanneru Naga Charan Tej
Anampally Sai Rakshith
Oruganti Pranav Sri Datta</t>
  </si>
  <si>
    <t>6304510542
8187059394
9490262822</t>
  </si>
  <si>
    <t>Nikhil Reddy
P Sathwika
M Sanjay</t>
  </si>
  <si>
    <t>9491659096
9392627325
9849655411</t>
  </si>
  <si>
    <t>G.Sai Srihas
K.Swapnil
B.Bharadwaj</t>
  </si>
  <si>
    <t>Vignan Institute of Technology and Science
Keshav Memorial Institute of Technology (KMIT)
Neil Gogte Institute of Technology</t>
  </si>
  <si>
    <t>9652692268
7207800660
9391237318</t>
  </si>
  <si>
    <t>Ramya Mandava
S.pranathi
P.Bhavya</t>
  </si>
  <si>
    <t>6303283079
8008606832
9494508239</t>
  </si>
  <si>
    <t>S SAJID BASHA
B ABHINAV
ESHWAR REDDY</t>
  </si>
  <si>
    <t>7075107431
7416009806
6281519839</t>
  </si>
  <si>
    <t>Alakuchi Anirudh
Syed Ghayas Ur Rehman
J Venkata Sai Ravi Raj</t>
  </si>
  <si>
    <t>9121094699
9666164416
8008845058</t>
  </si>
  <si>
    <t>Pasula Reshma
Gandeti Goutham
R.Sathwika</t>
  </si>
  <si>
    <t>AVN Institute of Engineering and Technology
Vignan Institute of Technology and Science
Vignan Institute of Technology and Science</t>
  </si>
  <si>
    <t>9652982759
6309123856
9032352474</t>
  </si>
  <si>
    <t>T Hemanth
K Spoorthi Reddy
R pranay Kumar</t>
  </si>
  <si>
    <t>9014106846
9030350730
7989235132</t>
  </si>
  <si>
    <t>Prisha Priyanjal
milika reddy
Akshitha Reddy</t>
  </si>
  <si>
    <t>9493903251
9573604089
9989392885</t>
  </si>
  <si>
    <t>Likhitha Vinnakota
Molankar Tejeshwini
Yanagandala Tejesh</t>
  </si>
  <si>
    <t>ECE
CSE (DS)
CSE (DS)</t>
  </si>
  <si>
    <t>7893770062
9390792019
7893818817</t>
  </si>
  <si>
    <t>R.Vidya Shankar
vemuri vijayeswarara rao
N. Meenakshi Srinidhi</t>
  </si>
  <si>
    <t>CSE (AI&amp;ML)
CSE (AI&amp;ML)
EIE</t>
  </si>
  <si>
    <t>9360921529
8332932136
7207403604</t>
  </si>
  <si>
    <t>Pravinya Valluri
Bandaru Bhuvaneshwari
Gopagani Sanjay</t>
  </si>
  <si>
    <t>9110329739
9849660756
9063431086</t>
  </si>
  <si>
    <t>Pothuganti Ganateju
Avvaru sriya
PANGULURI VYSHNAVI</t>
  </si>
  <si>
    <t>9502479610
7075229139
8919416257</t>
  </si>
  <si>
    <t>Vanavoju Varshitha
Vadakattu Bharath
B.Ashwith</t>
  </si>
  <si>
    <t>9390442352
9063639625
7386770214</t>
  </si>
  <si>
    <t>E Rithvk Nag
Karunya Rajasekhar Kothapalli
CH Harshit</t>
  </si>
  <si>
    <t>7995712308
9398191633
9014516625</t>
  </si>
  <si>
    <t>PENTA RISHI VASTHAL
CHAKRAHARI HARSHITH RAJU
MADHAVARAM JASWANTH</t>
  </si>
  <si>
    <t>9110764728
6303326553
7893784959</t>
  </si>
  <si>
    <t>Siddartha Samala
Y Harsha krishna
Burri Ruthwik</t>
  </si>
  <si>
    <t>9030520458
8125418662
9515276423</t>
  </si>
  <si>
    <t>Taufiq Mohammad
Sai Ashika Katragadda
Ashwaq Mohammad</t>
  </si>
  <si>
    <t>Institute of Aeronautical Engineering (IARE)
Institute of Aeronautical Engineering (IARE)
Nalla Narasimha Reddy Group of Institutions (NNRG)</t>
  </si>
  <si>
    <t>ECE
Other
ECE</t>
  </si>
  <si>
    <t>Not provided
Not provided
Not provided</t>
  </si>
  <si>
    <t>RAVITEJA Dadi
Prasastha D
Satya Lokesh Dharamavarapu</t>
  </si>
  <si>
    <t>Sriphani Dhanwanth
Tharun Abhinay
Sitaram</t>
  </si>
  <si>
    <t>Hari Bilapudi
Lavanya Chelle
Anusha Dwarampudi</t>
  </si>
  <si>
    <t>Institute of Aeronautical Engineering (IARE)
Nalla Narasimha Reddy Group of Institutions (NNRG)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</si>
</sst>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b/>
      <sz val="11"/>
      <color rgb="FF0000FF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FFFFF"/>
      </patternFill>
    </fill>
    <fill>
      <patternFill patternType="solid">
        <fgColor rgb="FFFFF2CC"/>
        <bgColor rgb="FFEAF1FB"/>
      </patternFill>
    </fill>
    <fill>
      <patternFill patternType="solid">
        <fgColor rgb="FFFFFFFF"/>
        <bgColor rgb="FFEAF1FB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1F38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1F3864"/>
      </bottom>
      <diagonal/>
    </border>
    <border>
      <left style="thin">
        <color rgb="FF999999"/>
      </left>
      <right style="thin">
        <color rgb="FF999999"/>
      </right>
      <top style="medium">
        <color rgb="FF1F3864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4" fillId="3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43"/>
  <sheetViews>
    <sheetView zoomScaleNormal="100" workbookViewId="0">
      <pane xSplit="3" ySplit="4" topLeftCell="D215" activePane="bottomRight" state="frozen"/>
      <selection pane="topRight" activeCell="D1" sqref="D1"/>
      <selection pane="bottomLeft" activeCell="A5" sqref="A5"/>
      <selection pane="bottomRight" activeCell="A4" sqref="A4:XFD4"/>
    </sheetView>
  </sheetViews>
  <sheetFormatPr defaultColWidth="8.6328125" defaultRowHeight="14.5" x14ac:dyDescent="0.35"/>
  <cols>
    <col min="1" max="1" width="7" customWidth="1"/>
    <col min="2" max="2" width="19" customWidth="1"/>
    <col min="3" max="3" width="22" customWidth="1"/>
    <col min="4" max="4" width="28" customWidth="1"/>
    <col min="5" max="5" width="9" customWidth="1"/>
    <col min="6" max="6" width="36" customWidth="1"/>
    <col min="7" max="7" width="12" customWidth="1"/>
    <col min="8" max="8" width="11" customWidth="1"/>
    <col min="9" max="9" width="26" customWidth="1"/>
    <col min="10" max="10" width="15" customWidth="1"/>
    <col min="11" max="11" width="13" customWidth="1"/>
  </cols>
  <sheetData>
    <row r="1" spans="1:11" ht="18" x14ac:dyDescent="0.4">
      <c r="A1" s="5" t="s">
        <v>0</v>
      </c>
    </row>
    <row r="2" spans="1:11" x14ac:dyDescent="0.35">
      <c r="A2" s="6" t="s">
        <v>1</v>
      </c>
    </row>
    <row r="4" spans="1:11" ht="24" customHeight="1" x14ac:dyDescent="0.3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</row>
    <row r="5" spans="1:11" ht="15" customHeight="1" x14ac:dyDescent="0.35">
      <c r="A5" s="47">
        <v>1</v>
      </c>
      <c r="B5" s="47" t="s">
        <v>13</v>
      </c>
      <c r="C5" s="48" t="s">
        <v>14</v>
      </c>
      <c r="D5" s="8" t="s">
        <v>15</v>
      </c>
      <c r="E5" s="4" t="s">
        <v>16</v>
      </c>
      <c r="F5" s="48" t="s">
        <v>17</v>
      </c>
      <c r="G5" s="47" t="s">
        <v>18</v>
      </c>
      <c r="H5" s="47" t="s">
        <v>19</v>
      </c>
      <c r="I5" s="49" t="s">
        <v>20</v>
      </c>
      <c r="J5" s="9" t="s">
        <v>21</v>
      </c>
      <c r="K5" s="10"/>
    </row>
    <row r="6" spans="1:11" x14ac:dyDescent="0.35">
      <c r="A6" s="47"/>
      <c r="B6" s="47"/>
      <c r="C6" s="47"/>
      <c r="D6" s="11" t="s">
        <v>22</v>
      </c>
      <c r="E6" s="12" t="s">
        <v>23</v>
      </c>
      <c r="F6" s="48"/>
      <c r="G6" s="48"/>
      <c r="H6" s="48"/>
      <c r="I6" s="48"/>
      <c r="J6" s="13" t="s">
        <v>24</v>
      </c>
      <c r="K6" s="14"/>
    </row>
    <row r="7" spans="1:11" x14ac:dyDescent="0.35">
      <c r="A7" s="47"/>
      <c r="B7" s="47"/>
      <c r="C7" s="47"/>
      <c r="D7" s="15" t="s">
        <v>25</v>
      </c>
      <c r="E7" s="16" t="s">
        <v>23</v>
      </c>
      <c r="F7" s="48"/>
      <c r="G7" s="48"/>
      <c r="H7" s="48"/>
      <c r="I7" s="48"/>
      <c r="J7" s="17" t="s">
        <v>26</v>
      </c>
      <c r="K7" s="18"/>
    </row>
    <row r="8" spans="1:11" ht="15" customHeight="1" x14ac:dyDescent="0.35">
      <c r="A8" s="50">
        <v>2</v>
      </c>
      <c r="B8" s="50" t="s">
        <v>27</v>
      </c>
      <c r="C8" s="51" t="s">
        <v>28</v>
      </c>
      <c r="D8" s="19" t="s">
        <v>29</v>
      </c>
      <c r="E8" s="2" t="s">
        <v>16</v>
      </c>
      <c r="F8" s="51" t="s">
        <v>17</v>
      </c>
      <c r="G8" s="2" t="s">
        <v>30</v>
      </c>
      <c r="H8" s="50" t="s">
        <v>31</v>
      </c>
      <c r="I8" s="52" t="s">
        <v>20</v>
      </c>
      <c r="J8" s="20" t="s">
        <v>32</v>
      </c>
      <c r="K8" s="10"/>
    </row>
    <row r="9" spans="1:11" x14ac:dyDescent="0.35">
      <c r="A9" s="50"/>
      <c r="B9" s="50"/>
      <c r="C9" s="50"/>
      <c r="D9" s="21" t="s">
        <v>33</v>
      </c>
      <c r="E9" s="22" t="s">
        <v>23</v>
      </c>
      <c r="F9" s="51"/>
      <c r="G9" s="22" t="s">
        <v>34</v>
      </c>
      <c r="H9" s="50"/>
      <c r="I9" s="50"/>
      <c r="J9" s="23" t="s">
        <v>35</v>
      </c>
      <c r="K9" s="14"/>
    </row>
    <row r="10" spans="1:11" x14ac:dyDescent="0.35">
      <c r="A10" s="50"/>
      <c r="B10" s="50"/>
      <c r="C10" s="50"/>
      <c r="D10" s="24" t="s">
        <v>36</v>
      </c>
      <c r="E10" s="25" t="s">
        <v>23</v>
      </c>
      <c r="F10" s="51"/>
      <c r="G10" s="25" t="s">
        <v>37</v>
      </c>
      <c r="H10" s="50"/>
      <c r="I10" s="50"/>
      <c r="J10" s="26" t="s">
        <v>38</v>
      </c>
      <c r="K10" s="18"/>
    </row>
    <row r="11" spans="1:11" ht="15" customHeight="1" x14ac:dyDescent="0.35">
      <c r="A11" s="47">
        <v>3</v>
      </c>
      <c r="B11" s="47" t="s">
        <v>39</v>
      </c>
      <c r="C11" s="48" t="s">
        <v>40</v>
      </c>
      <c r="D11" s="8" t="s">
        <v>41</v>
      </c>
      <c r="E11" s="4" t="s">
        <v>16</v>
      </c>
      <c r="F11" s="48" t="s">
        <v>17</v>
      </c>
      <c r="G11" s="47" t="s">
        <v>42</v>
      </c>
      <c r="H11" s="47" t="s">
        <v>31</v>
      </c>
      <c r="I11" s="49" t="s">
        <v>20</v>
      </c>
      <c r="J11" s="9" t="s">
        <v>43</v>
      </c>
      <c r="K11" s="10"/>
    </row>
    <row r="12" spans="1:11" x14ac:dyDescent="0.35">
      <c r="A12" s="47"/>
      <c r="B12" s="47"/>
      <c r="C12" s="47"/>
      <c r="D12" s="11" t="s">
        <v>44</v>
      </c>
      <c r="E12" s="12" t="s">
        <v>23</v>
      </c>
      <c r="F12" s="48"/>
      <c r="G12" s="48"/>
      <c r="H12" s="48"/>
      <c r="I12" s="48"/>
      <c r="J12" s="13" t="s">
        <v>45</v>
      </c>
      <c r="K12" s="14"/>
    </row>
    <row r="13" spans="1:11" x14ac:dyDescent="0.35">
      <c r="A13" s="47"/>
      <c r="B13" s="47"/>
      <c r="C13" s="47"/>
      <c r="D13" s="15" t="s">
        <v>46</v>
      </c>
      <c r="E13" s="16" t="s">
        <v>23</v>
      </c>
      <c r="F13" s="48"/>
      <c r="G13" s="48"/>
      <c r="H13" s="48"/>
      <c r="I13" s="48"/>
      <c r="J13" s="17" t="s">
        <v>47</v>
      </c>
      <c r="K13" s="18"/>
    </row>
    <row r="14" spans="1:11" ht="15" customHeight="1" x14ac:dyDescent="0.35">
      <c r="A14" s="50">
        <v>4</v>
      </c>
      <c r="B14" s="50" t="s">
        <v>48</v>
      </c>
      <c r="C14" s="51" t="s">
        <v>49</v>
      </c>
      <c r="D14" s="19" t="s">
        <v>50</v>
      </c>
      <c r="E14" s="2" t="s">
        <v>16</v>
      </c>
      <c r="F14" s="51" t="s">
        <v>17</v>
      </c>
      <c r="G14" s="2" t="s">
        <v>18</v>
      </c>
      <c r="H14" s="2" t="s">
        <v>31</v>
      </c>
      <c r="I14" s="52" t="s">
        <v>20</v>
      </c>
      <c r="J14" s="20" t="s">
        <v>51</v>
      </c>
      <c r="K14" s="10"/>
    </row>
    <row r="15" spans="1:11" x14ac:dyDescent="0.35">
      <c r="A15" s="50"/>
      <c r="B15" s="50"/>
      <c r="C15" s="50"/>
      <c r="D15" s="21" t="s">
        <v>52</v>
      </c>
      <c r="E15" s="22" t="s">
        <v>23</v>
      </c>
      <c r="F15" s="51"/>
      <c r="G15" s="22" t="s">
        <v>18</v>
      </c>
      <c r="H15" s="22" t="s">
        <v>31</v>
      </c>
      <c r="I15" s="52"/>
      <c r="J15" s="23" t="s">
        <v>53</v>
      </c>
      <c r="K15" s="14"/>
    </row>
    <row r="16" spans="1:11" x14ac:dyDescent="0.35">
      <c r="A16" s="50"/>
      <c r="B16" s="50"/>
      <c r="C16" s="50"/>
      <c r="D16" s="24" t="s">
        <v>54</v>
      </c>
      <c r="E16" s="25" t="s">
        <v>23</v>
      </c>
      <c r="F16" s="51"/>
      <c r="G16" s="25" t="s">
        <v>30</v>
      </c>
      <c r="H16" s="25" t="s">
        <v>55</v>
      </c>
      <c r="I16" s="52"/>
      <c r="J16" s="26" t="s">
        <v>56</v>
      </c>
      <c r="K16" s="18"/>
    </row>
    <row r="17" spans="1:11" ht="15" customHeight="1" x14ac:dyDescent="0.35">
      <c r="A17" s="47">
        <v>5</v>
      </c>
      <c r="B17" s="47" t="s">
        <v>57</v>
      </c>
      <c r="C17" s="48" t="s">
        <v>58</v>
      </c>
      <c r="D17" s="8" t="s">
        <v>59</v>
      </c>
      <c r="E17" s="4" t="s">
        <v>16</v>
      </c>
      <c r="F17" s="48" t="s">
        <v>17</v>
      </c>
      <c r="G17" s="47" t="s">
        <v>18</v>
      </c>
      <c r="H17" s="47" t="s">
        <v>31</v>
      </c>
      <c r="I17" s="49" t="s">
        <v>20</v>
      </c>
      <c r="J17" s="9" t="s">
        <v>60</v>
      </c>
      <c r="K17" s="10"/>
    </row>
    <row r="18" spans="1:11" x14ac:dyDescent="0.35">
      <c r="A18" s="47"/>
      <c r="B18" s="47"/>
      <c r="C18" s="47"/>
      <c r="D18" s="11" t="s">
        <v>61</v>
      </c>
      <c r="E18" s="12" t="s">
        <v>23</v>
      </c>
      <c r="F18" s="48"/>
      <c r="G18" s="48"/>
      <c r="H18" s="48"/>
      <c r="I18" s="48"/>
      <c r="J18" s="13" t="s">
        <v>62</v>
      </c>
      <c r="K18" s="14"/>
    </row>
    <row r="19" spans="1:11" x14ac:dyDescent="0.35">
      <c r="A19" s="47"/>
      <c r="B19" s="47"/>
      <c r="C19" s="47"/>
      <c r="D19" s="15" t="s">
        <v>63</v>
      </c>
      <c r="E19" s="16" t="s">
        <v>23</v>
      </c>
      <c r="F19" s="48"/>
      <c r="G19" s="48"/>
      <c r="H19" s="48"/>
      <c r="I19" s="48"/>
      <c r="J19" s="17" t="s">
        <v>64</v>
      </c>
      <c r="K19" s="18"/>
    </row>
    <row r="20" spans="1:11" ht="15" customHeight="1" x14ac:dyDescent="0.35">
      <c r="A20" s="50">
        <v>6</v>
      </c>
      <c r="B20" s="50" t="s">
        <v>65</v>
      </c>
      <c r="C20" s="51" t="s">
        <v>66</v>
      </c>
      <c r="D20" s="19" t="s">
        <v>67</v>
      </c>
      <c r="E20" s="2" t="s">
        <v>16</v>
      </c>
      <c r="F20" s="51" t="s">
        <v>17</v>
      </c>
      <c r="G20" s="2" t="s">
        <v>42</v>
      </c>
      <c r="H20" s="50" t="s">
        <v>55</v>
      </c>
      <c r="I20" s="52" t="s">
        <v>20</v>
      </c>
      <c r="J20" s="20" t="s">
        <v>68</v>
      </c>
      <c r="K20" s="10"/>
    </row>
    <row r="21" spans="1:11" x14ac:dyDescent="0.35">
      <c r="A21" s="50"/>
      <c r="B21" s="50"/>
      <c r="C21" s="50"/>
      <c r="D21" s="21" t="s">
        <v>69</v>
      </c>
      <c r="E21" s="22" t="s">
        <v>23</v>
      </c>
      <c r="F21" s="51"/>
      <c r="G21" s="22" t="s">
        <v>30</v>
      </c>
      <c r="H21" s="50"/>
      <c r="I21" s="50"/>
      <c r="J21" s="23" t="s">
        <v>70</v>
      </c>
      <c r="K21" s="14"/>
    </row>
    <row r="22" spans="1:11" x14ac:dyDescent="0.35">
      <c r="A22" s="50"/>
      <c r="B22" s="50"/>
      <c r="C22" s="50"/>
      <c r="D22" s="24" t="s">
        <v>71</v>
      </c>
      <c r="E22" s="25" t="s">
        <v>23</v>
      </c>
      <c r="F22" s="51"/>
      <c r="G22" s="25" t="s">
        <v>30</v>
      </c>
      <c r="H22" s="50"/>
      <c r="I22" s="50"/>
      <c r="J22" s="26" t="s">
        <v>72</v>
      </c>
      <c r="K22" s="18"/>
    </row>
    <row r="23" spans="1:11" ht="15" customHeight="1" x14ac:dyDescent="0.35">
      <c r="A23" s="47">
        <v>7</v>
      </c>
      <c r="B23" s="47" t="s">
        <v>73</v>
      </c>
      <c r="C23" s="48" t="s">
        <v>74</v>
      </c>
      <c r="D23" s="8" t="s">
        <v>75</v>
      </c>
      <c r="E23" s="4" t="s">
        <v>16</v>
      </c>
      <c r="F23" s="48" t="s">
        <v>17</v>
      </c>
      <c r="G23" s="47" t="s">
        <v>30</v>
      </c>
      <c r="H23" s="47" t="s">
        <v>31</v>
      </c>
      <c r="I23" s="49" t="s">
        <v>20</v>
      </c>
      <c r="J23" s="9" t="s">
        <v>76</v>
      </c>
      <c r="K23" s="10"/>
    </row>
    <row r="24" spans="1:11" x14ac:dyDescent="0.35">
      <c r="A24" s="47"/>
      <c r="B24" s="47"/>
      <c r="C24" s="47"/>
      <c r="D24" s="11" t="s">
        <v>77</v>
      </c>
      <c r="E24" s="12" t="s">
        <v>23</v>
      </c>
      <c r="F24" s="48"/>
      <c r="G24" s="48"/>
      <c r="H24" s="48"/>
      <c r="I24" s="48"/>
      <c r="J24" s="13" t="s">
        <v>78</v>
      </c>
      <c r="K24" s="14"/>
    </row>
    <row r="25" spans="1:11" x14ac:dyDescent="0.35">
      <c r="A25" s="47"/>
      <c r="B25" s="47"/>
      <c r="C25" s="47"/>
      <c r="D25" s="15" t="s">
        <v>79</v>
      </c>
      <c r="E25" s="16" t="s">
        <v>23</v>
      </c>
      <c r="F25" s="48"/>
      <c r="G25" s="48"/>
      <c r="H25" s="48"/>
      <c r="I25" s="48"/>
      <c r="J25" s="17" t="s">
        <v>80</v>
      </c>
      <c r="K25" s="18"/>
    </row>
    <row r="26" spans="1:11" ht="15" customHeight="1" x14ac:dyDescent="0.35">
      <c r="A26" s="50">
        <v>8</v>
      </c>
      <c r="B26" s="50" t="s">
        <v>81</v>
      </c>
      <c r="C26" s="51" t="s">
        <v>82</v>
      </c>
      <c r="D26" s="19" t="s">
        <v>83</v>
      </c>
      <c r="E26" s="2" t="s">
        <v>16</v>
      </c>
      <c r="F26" s="51" t="s">
        <v>17</v>
      </c>
      <c r="G26" s="2" t="s">
        <v>30</v>
      </c>
      <c r="H26" s="50" t="s">
        <v>55</v>
      </c>
      <c r="I26" s="52" t="s">
        <v>20</v>
      </c>
      <c r="J26" s="20" t="s">
        <v>84</v>
      </c>
      <c r="K26" s="10"/>
    </row>
    <row r="27" spans="1:11" x14ac:dyDescent="0.35">
      <c r="A27" s="50"/>
      <c r="B27" s="50"/>
      <c r="C27" s="50"/>
      <c r="D27" s="21" t="s">
        <v>85</v>
      </c>
      <c r="E27" s="22" t="s">
        <v>23</v>
      </c>
      <c r="F27" s="51"/>
      <c r="G27" s="22" t="s">
        <v>42</v>
      </c>
      <c r="H27" s="50"/>
      <c r="I27" s="50"/>
      <c r="J27" s="23" t="s">
        <v>86</v>
      </c>
      <c r="K27" s="14"/>
    </row>
    <row r="28" spans="1:11" x14ac:dyDescent="0.35">
      <c r="A28" s="50"/>
      <c r="B28" s="50"/>
      <c r="C28" s="50"/>
      <c r="D28" s="24" t="s">
        <v>87</v>
      </c>
      <c r="E28" s="25" t="s">
        <v>23</v>
      </c>
      <c r="F28" s="51"/>
      <c r="G28" s="25" t="s">
        <v>30</v>
      </c>
      <c r="H28" s="50"/>
      <c r="I28" s="50"/>
      <c r="J28" s="26" t="s">
        <v>88</v>
      </c>
      <c r="K28" s="18"/>
    </row>
    <row r="29" spans="1:11" ht="15" customHeight="1" x14ac:dyDescent="0.35">
      <c r="A29" s="47">
        <v>9</v>
      </c>
      <c r="B29" s="47" t="s">
        <v>89</v>
      </c>
      <c r="C29" s="48" t="s">
        <v>90</v>
      </c>
      <c r="D29" s="8" t="s">
        <v>91</v>
      </c>
      <c r="E29" s="4" t="s">
        <v>16</v>
      </c>
      <c r="F29" s="48" t="s">
        <v>17</v>
      </c>
      <c r="G29" s="47" t="s">
        <v>92</v>
      </c>
      <c r="H29" s="47" t="s">
        <v>55</v>
      </c>
      <c r="I29" s="49" t="s">
        <v>20</v>
      </c>
      <c r="J29" s="9" t="s">
        <v>93</v>
      </c>
      <c r="K29" s="10"/>
    </row>
    <row r="30" spans="1:11" x14ac:dyDescent="0.35">
      <c r="A30" s="47"/>
      <c r="B30" s="47"/>
      <c r="C30" s="47"/>
      <c r="D30" s="11" t="s">
        <v>94</v>
      </c>
      <c r="E30" s="12" t="s">
        <v>23</v>
      </c>
      <c r="F30" s="48"/>
      <c r="G30" s="48"/>
      <c r="H30" s="48"/>
      <c r="I30" s="48"/>
      <c r="J30" s="13" t="s">
        <v>95</v>
      </c>
      <c r="K30" s="14"/>
    </row>
    <row r="31" spans="1:11" x14ac:dyDescent="0.35">
      <c r="A31" s="47"/>
      <c r="B31" s="47"/>
      <c r="C31" s="47"/>
      <c r="D31" s="15" t="s">
        <v>96</v>
      </c>
      <c r="E31" s="16" t="s">
        <v>23</v>
      </c>
      <c r="F31" s="48"/>
      <c r="G31" s="48"/>
      <c r="H31" s="48"/>
      <c r="I31" s="48"/>
      <c r="J31" s="17" t="s">
        <v>97</v>
      </c>
      <c r="K31" s="18"/>
    </row>
    <row r="32" spans="1:11" ht="15" customHeight="1" x14ac:dyDescent="0.35">
      <c r="A32" s="50">
        <v>10</v>
      </c>
      <c r="B32" s="50" t="s">
        <v>98</v>
      </c>
      <c r="C32" s="51" t="s">
        <v>99</v>
      </c>
      <c r="D32" s="19" t="s">
        <v>100</v>
      </c>
      <c r="E32" s="2" t="s">
        <v>16</v>
      </c>
      <c r="F32" s="51" t="s">
        <v>17</v>
      </c>
      <c r="G32" s="50" t="s">
        <v>42</v>
      </c>
      <c r="H32" s="50" t="s">
        <v>31</v>
      </c>
      <c r="I32" s="52" t="s">
        <v>20</v>
      </c>
      <c r="J32" s="20" t="s">
        <v>101</v>
      </c>
      <c r="K32" s="10"/>
    </row>
    <row r="33" spans="1:11" x14ac:dyDescent="0.35">
      <c r="A33" s="50"/>
      <c r="B33" s="50"/>
      <c r="C33" s="50"/>
      <c r="D33" s="21" t="s">
        <v>102</v>
      </c>
      <c r="E33" s="22" t="s">
        <v>23</v>
      </c>
      <c r="F33" s="51"/>
      <c r="G33" s="51"/>
      <c r="H33" s="51"/>
      <c r="I33" s="51"/>
      <c r="J33" s="23" t="s">
        <v>103</v>
      </c>
      <c r="K33" s="14"/>
    </row>
    <row r="34" spans="1:11" x14ac:dyDescent="0.35">
      <c r="A34" s="50"/>
      <c r="B34" s="50"/>
      <c r="C34" s="50"/>
      <c r="D34" s="24" t="s">
        <v>104</v>
      </c>
      <c r="E34" s="25" t="s">
        <v>23</v>
      </c>
      <c r="F34" s="51"/>
      <c r="G34" s="51"/>
      <c r="H34" s="51"/>
      <c r="I34" s="51"/>
      <c r="J34" s="26" t="s">
        <v>105</v>
      </c>
      <c r="K34" s="18"/>
    </row>
    <row r="35" spans="1:11" ht="15" customHeight="1" x14ac:dyDescent="0.35">
      <c r="A35" s="47">
        <v>11</v>
      </c>
      <c r="B35" s="47" t="s">
        <v>106</v>
      </c>
      <c r="C35" s="48" t="s">
        <v>107</v>
      </c>
      <c r="D35" s="8" t="s">
        <v>108</v>
      </c>
      <c r="E35" s="4" t="s">
        <v>16</v>
      </c>
      <c r="F35" s="48" t="s">
        <v>17</v>
      </c>
      <c r="G35" s="47" t="s">
        <v>92</v>
      </c>
      <c r="H35" s="47" t="s">
        <v>31</v>
      </c>
      <c r="I35" s="49" t="s">
        <v>20</v>
      </c>
      <c r="J35" s="9" t="s">
        <v>109</v>
      </c>
      <c r="K35" s="10"/>
    </row>
    <row r="36" spans="1:11" x14ac:dyDescent="0.35">
      <c r="A36" s="47"/>
      <c r="B36" s="47"/>
      <c r="C36" s="47"/>
      <c r="D36" s="11" t="s">
        <v>110</v>
      </c>
      <c r="E36" s="12" t="s">
        <v>23</v>
      </c>
      <c r="F36" s="48"/>
      <c r="G36" s="48"/>
      <c r="H36" s="48"/>
      <c r="I36" s="48"/>
      <c r="J36" s="13" t="s">
        <v>111</v>
      </c>
      <c r="K36" s="14"/>
    </row>
    <row r="37" spans="1:11" x14ac:dyDescent="0.35">
      <c r="A37" s="47"/>
      <c r="B37" s="47"/>
      <c r="C37" s="47"/>
      <c r="D37" s="15" t="s">
        <v>112</v>
      </c>
      <c r="E37" s="16" t="s">
        <v>23</v>
      </c>
      <c r="F37" s="48"/>
      <c r="G37" s="48"/>
      <c r="H37" s="48"/>
      <c r="I37" s="48"/>
      <c r="J37" s="17" t="s">
        <v>113</v>
      </c>
      <c r="K37" s="18"/>
    </row>
    <row r="38" spans="1:11" ht="15" customHeight="1" x14ac:dyDescent="0.35">
      <c r="A38" s="50">
        <v>12</v>
      </c>
      <c r="B38" s="50" t="s">
        <v>114</v>
      </c>
      <c r="C38" s="51" t="s">
        <v>115</v>
      </c>
      <c r="D38" s="19" t="s">
        <v>116</v>
      </c>
      <c r="E38" s="2" t="s">
        <v>16</v>
      </c>
      <c r="F38" s="51" t="s">
        <v>17</v>
      </c>
      <c r="G38" s="50" t="s">
        <v>42</v>
      </c>
      <c r="H38" s="50" t="s">
        <v>31</v>
      </c>
      <c r="I38" s="52" t="s">
        <v>20</v>
      </c>
      <c r="J38" s="20" t="s">
        <v>117</v>
      </c>
      <c r="K38" s="10"/>
    </row>
    <row r="39" spans="1:11" x14ac:dyDescent="0.35">
      <c r="A39" s="50"/>
      <c r="B39" s="50"/>
      <c r="C39" s="50"/>
      <c r="D39" s="21" t="s">
        <v>118</v>
      </c>
      <c r="E39" s="22" t="s">
        <v>23</v>
      </c>
      <c r="F39" s="51"/>
      <c r="G39" s="51"/>
      <c r="H39" s="51"/>
      <c r="I39" s="51"/>
      <c r="J39" s="23" t="s">
        <v>119</v>
      </c>
      <c r="K39" s="14"/>
    </row>
    <row r="40" spans="1:11" x14ac:dyDescent="0.35">
      <c r="A40" s="50"/>
      <c r="B40" s="50"/>
      <c r="C40" s="50"/>
      <c r="D40" s="24" t="s">
        <v>120</v>
      </c>
      <c r="E40" s="25" t="s">
        <v>23</v>
      </c>
      <c r="F40" s="51"/>
      <c r="G40" s="51"/>
      <c r="H40" s="51"/>
      <c r="I40" s="51"/>
      <c r="J40" s="26" t="s">
        <v>121</v>
      </c>
      <c r="K40" s="18"/>
    </row>
    <row r="41" spans="1:11" ht="15" customHeight="1" x14ac:dyDescent="0.35">
      <c r="A41" s="47">
        <v>13</v>
      </c>
      <c r="B41" s="47" t="s">
        <v>122</v>
      </c>
      <c r="C41" s="48" t="s">
        <v>123</v>
      </c>
      <c r="D41" s="8" t="s">
        <v>124</v>
      </c>
      <c r="E41" s="4" t="s">
        <v>16</v>
      </c>
      <c r="F41" s="48" t="s">
        <v>17</v>
      </c>
      <c r="G41" s="4" t="s">
        <v>30</v>
      </c>
      <c r="H41" s="47" t="s">
        <v>55</v>
      </c>
      <c r="I41" s="49" t="s">
        <v>20</v>
      </c>
      <c r="J41" s="9" t="s">
        <v>125</v>
      </c>
      <c r="K41" s="10"/>
    </row>
    <row r="42" spans="1:11" x14ac:dyDescent="0.35">
      <c r="A42" s="47"/>
      <c r="B42" s="47"/>
      <c r="C42" s="47"/>
      <c r="D42" s="11" t="s">
        <v>126</v>
      </c>
      <c r="E42" s="12" t="s">
        <v>23</v>
      </c>
      <c r="F42" s="48"/>
      <c r="G42" s="12" t="s">
        <v>92</v>
      </c>
      <c r="H42" s="47"/>
      <c r="I42" s="47"/>
      <c r="J42" s="13" t="s">
        <v>127</v>
      </c>
      <c r="K42" s="14"/>
    </row>
    <row r="43" spans="1:11" x14ac:dyDescent="0.35">
      <c r="A43" s="47"/>
      <c r="B43" s="47"/>
      <c r="C43" s="47"/>
      <c r="D43" s="15" t="s">
        <v>128</v>
      </c>
      <c r="E43" s="16" t="s">
        <v>23</v>
      </c>
      <c r="F43" s="48"/>
      <c r="G43" s="16" t="s">
        <v>30</v>
      </c>
      <c r="H43" s="47"/>
      <c r="I43" s="47"/>
      <c r="J43" s="17" t="s">
        <v>129</v>
      </c>
      <c r="K43" s="18"/>
    </row>
    <row r="44" spans="1:11" ht="15" customHeight="1" x14ac:dyDescent="0.35">
      <c r="A44" s="50">
        <v>14</v>
      </c>
      <c r="B44" s="50" t="s">
        <v>130</v>
      </c>
      <c r="C44" s="51" t="s">
        <v>131</v>
      </c>
      <c r="D44" s="19" t="s">
        <v>132</v>
      </c>
      <c r="E44" s="2" t="s">
        <v>16</v>
      </c>
      <c r="F44" s="1" t="s">
        <v>133</v>
      </c>
      <c r="G44" s="2" t="s">
        <v>30</v>
      </c>
      <c r="H44" s="50" t="s">
        <v>31</v>
      </c>
      <c r="I44" s="52" t="s">
        <v>20</v>
      </c>
      <c r="J44" s="20" t="s">
        <v>134</v>
      </c>
      <c r="K44" s="10"/>
    </row>
    <row r="45" spans="1:11" x14ac:dyDescent="0.35">
      <c r="A45" s="50"/>
      <c r="B45" s="50"/>
      <c r="C45" s="50"/>
      <c r="D45" s="21" t="s">
        <v>135</v>
      </c>
      <c r="E45" s="22" t="s">
        <v>23</v>
      </c>
      <c r="F45" s="21" t="s">
        <v>136</v>
      </c>
      <c r="G45" s="22" t="s">
        <v>42</v>
      </c>
      <c r="H45" s="50"/>
      <c r="I45" s="50"/>
      <c r="J45" s="23" t="s">
        <v>137</v>
      </c>
      <c r="K45" s="14"/>
    </row>
    <row r="46" spans="1:11" x14ac:dyDescent="0.35">
      <c r="A46" s="50"/>
      <c r="B46" s="50"/>
      <c r="C46" s="50"/>
      <c r="D46" s="24" t="s">
        <v>138</v>
      </c>
      <c r="E46" s="25" t="s">
        <v>23</v>
      </c>
      <c r="F46" s="24" t="s">
        <v>133</v>
      </c>
      <c r="G46" s="25" t="s">
        <v>30</v>
      </c>
      <c r="H46" s="50"/>
      <c r="I46" s="50"/>
      <c r="J46" s="26" t="s">
        <v>139</v>
      </c>
      <c r="K46" s="18"/>
    </row>
    <row r="47" spans="1:11" ht="15" customHeight="1" x14ac:dyDescent="0.35">
      <c r="A47" s="47">
        <v>15</v>
      </c>
      <c r="B47" s="47" t="s">
        <v>140</v>
      </c>
      <c r="C47" s="48" t="s">
        <v>141</v>
      </c>
      <c r="D47" s="8" t="s">
        <v>142</v>
      </c>
      <c r="E47" s="4" t="s">
        <v>16</v>
      </c>
      <c r="F47" s="48" t="s">
        <v>17</v>
      </c>
      <c r="G47" s="47" t="s">
        <v>92</v>
      </c>
      <c r="H47" s="47" t="s">
        <v>31</v>
      </c>
      <c r="I47" s="49" t="s">
        <v>20</v>
      </c>
      <c r="J47" s="9" t="s">
        <v>143</v>
      </c>
      <c r="K47" s="10"/>
    </row>
    <row r="48" spans="1:11" x14ac:dyDescent="0.35">
      <c r="A48" s="47"/>
      <c r="B48" s="47"/>
      <c r="C48" s="47"/>
      <c r="D48" s="11" t="s">
        <v>144</v>
      </c>
      <c r="E48" s="12" t="s">
        <v>23</v>
      </c>
      <c r="F48" s="48"/>
      <c r="G48" s="48"/>
      <c r="H48" s="48"/>
      <c r="I48" s="48"/>
      <c r="J48" s="13" t="s">
        <v>145</v>
      </c>
      <c r="K48" s="14"/>
    </row>
    <row r="49" spans="1:11" x14ac:dyDescent="0.35">
      <c r="A49" s="47"/>
      <c r="B49" s="47"/>
      <c r="C49" s="47"/>
      <c r="D49" s="15" t="s">
        <v>146</v>
      </c>
      <c r="E49" s="16" t="s">
        <v>23</v>
      </c>
      <c r="F49" s="48"/>
      <c r="G49" s="48"/>
      <c r="H49" s="48"/>
      <c r="I49" s="48"/>
      <c r="J49" s="17" t="s">
        <v>147</v>
      </c>
      <c r="K49" s="18"/>
    </row>
    <row r="50" spans="1:11" ht="15" customHeight="1" x14ac:dyDescent="0.35">
      <c r="A50" s="50">
        <v>16</v>
      </c>
      <c r="B50" s="50" t="s">
        <v>148</v>
      </c>
      <c r="C50" s="51" t="s">
        <v>149</v>
      </c>
      <c r="D50" s="19" t="s">
        <v>150</v>
      </c>
      <c r="E50" s="2" t="s">
        <v>16</v>
      </c>
      <c r="F50" s="51" t="s">
        <v>17</v>
      </c>
      <c r="G50" s="50" t="s">
        <v>42</v>
      </c>
      <c r="H50" s="50" t="s">
        <v>55</v>
      </c>
      <c r="I50" s="52" t="s">
        <v>20</v>
      </c>
      <c r="J50" s="20" t="s">
        <v>151</v>
      </c>
      <c r="K50" s="10"/>
    </row>
    <row r="51" spans="1:11" x14ac:dyDescent="0.35">
      <c r="A51" s="50"/>
      <c r="B51" s="50"/>
      <c r="C51" s="50"/>
      <c r="D51" s="21" t="s">
        <v>152</v>
      </c>
      <c r="E51" s="22" t="s">
        <v>23</v>
      </c>
      <c r="F51" s="51"/>
      <c r="G51" s="51"/>
      <c r="H51" s="51"/>
      <c r="I51" s="51"/>
      <c r="J51" s="23" t="s">
        <v>153</v>
      </c>
      <c r="K51" s="14"/>
    </row>
    <row r="52" spans="1:11" x14ac:dyDescent="0.35">
      <c r="A52" s="50"/>
      <c r="B52" s="50"/>
      <c r="C52" s="50"/>
      <c r="D52" s="24" t="s">
        <v>154</v>
      </c>
      <c r="E52" s="25" t="s">
        <v>23</v>
      </c>
      <c r="F52" s="51"/>
      <c r="G52" s="51"/>
      <c r="H52" s="51"/>
      <c r="I52" s="51"/>
      <c r="J52" s="26" t="s">
        <v>155</v>
      </c>
      <c r="K52" s="18"/>
    </row>
    <row r="53" spans="1:11" ht="15" customHeight="1" x14ac:dyDescent="0.35">
      <c r="A53" s="47">
        <v>17</v>
      </c>
      <c r="B53" s="47" t="s">
        <v>156</v>
      </c>
      <c r="C53" s="48" t="s">
        <v>157</v>
      </c>
      <c r="D53" s="8" t="s">
        <v>158</v>
      </c>
      <c r="E53" s="4" t="s">
        <v>16</v>
      </c>
      <c r="F53" s="48" t="s">
        <v>17</v>
      </c>
      <c r="G53" s="47" t="s">
        <v>92</v>
      </c>
      <c r="H53" s="47" t="s">
        <v>31</v>
      </c>
      <c r="I53" s="49" t="s">
        <v>20</v>
      </c>
      <c r="J53" s="9" t="s">
        <v>159</v>
      </c>
      <c r="K53" s="10"/>
    </row>
    <row r="54" spans="1:11" x14ac:dyDescent="0.35">
      <c r="A54" s="47"/>
      <c r="B54" s="47"/>
      <c r="C54" s="47"/>
      <c r="D54" s="11" t="s">
        <v>160</v>
      </c>
      <c r="E54" s="12" t="s">
        <v>23</v>
      </c>
      <c r="F54" s="48"/>
      <c r="G54" s="48"/>
      <c r="H54" s="48"/>
      <c r="I54" s="48"/>
      <c r="J54" s="13" t="s">
        <v>161</v>
      </c>
      <c r="K54" s="14"/>
    </row>
    <row r="55" spans="1:11" x14ac:dyDescent="0.35">
      <c r="A55" s="47"/>
      <c r="B55" s="47"/>
      <c r="C55" s="47"/>
      <c r="D55" s="15" t="s">
        <v>162</v>
      </c>
      <c r="E55" s="16" t="s">
        <v>23</v>
      </c>
      <c r="F55" s="48"/>
      <c r="G55" s="48"/>
      <c r="H55" s="48"/>
      <c r="I55" s="48"/>
      <c r="J55" s="17" t="s">
        <v>163</v>
      </c>
      <c r="K55" s="18"/>
    </row>
    <row r="56" spans="1:11" ht="15" customHeight="1" x14ac:dyDescent="0.35">
      <c r="A56" s="50">
        <v>18</v>
      </c>
      <c r="B56" s="50" t="s">
        <v>164</v>
      </c>
      <c r="C56" s="51" t="s">
        <v>165</v>
      </c>
      <c r="D56" s="19" t="s">
        <v>166</v>
      </c>
      <c r="E56" s="2" t="s">
        <v>16</v>
      </c>
      <c r="F56" s="51" t="s">
        <v>167</v>
      </c>
      <c r="G56" s="2" t="s">
        <v>30</v>
      </c>
      <c r="H56" s="50" t="s">
        <v>31</v>
      </c>
      <c r="I56" s="52" t="s">
        <v>20</v>
      </c>
      <c r="J56" s="20" t="s">
        <v>168</v>
      </c>
      <c r="K56" s="10"/>
    </row>
    <row r="57" spans="1:11" x14ac:dyDescent="0.35">
      <c r="A57" s="50"/>
      <c r="B57" s="50"/>
      <c r="C57" s="50"/>
      <c r="D57" s="21" t="s">
        <v>169</v>
      </c>
      <c r="E57" s="22" t="s">
        <v>23</v>
      </c>
      <c r="F57" s="51"/>
      <c r="G57" s="22" t="s">
        <v>42</v>
      </c>
      <c r="H57" s="50"/>
      <c r="I57" s="50"/>
      <c r="J57" s="23" t="s">
        <v>170</v>
      </c>
      <c r="K57" s="14"/>
    </row>
    <row r="58" spans="1:11" x14ac:dyDescent="0.35">
      <c r="A58" s="50"/>
      <c r="B58" s="50"/>
      <c r="C58" s="50"/>
      <c r="D58" s="24" t="s">
        <v>171</v>
      </c>
      <c r="E58" s="25" t="s">
        <v>23</v>
      </c>
      <c r="F58" s="51"/>
      <c r="G58" s="25" t="s">
        <v>30</v>
      </c>
      <c r="H58" s="50"/>
      <c r="I58" s="50"/>
      <c r="J58" s="26" t="s">
        <v>172</v>
      </c>
      <c r="K58" s="18"/>
    </row>
    <row r="59" spans="1:11" ht="15" customHeight="1" x14ac:dyDescent="0.35">
      <c r="A59" s="47">
        <v>19</v>
      </c>
      <c r="B59" s="47" t="s">
        <v>173</v>
      </c>
      <c r="C59" s="48" t="s">
        <v>174</v>
      </c>
      <c r="D59" s="8" t="s">
        <v>175</v>
      </c>
      <c r="E59" s="4" t="s">
        <v>16</v>
      </c>
      <c r="F59" s="48" t="s">
        <v>17</v>
      </c>
      <c r="G59" s="47" t="s">
        <v>92</v>
      </c>
      <c r="H59" s="47" t="s">
        <v>31</v>
      </c>
      <c r="I59" s="49" t="s">
        <v>20</v>
      </c>
      <c r="J59" s="9" t="s">
        <v>176</v>
      </c>
      <c r="K59" s="10"/>
    </row>
    <row r="60" spans="1:11" x14ac:dyDescent="0.35">
      <c r="A60" s="47"/>
      <c r="B60" s="47"/>
      <c r="C60" s="47"/>
      <c r="D60" s="11" t="s">
        <v>177</v>
      </c>
      <c r="E60" s="12" t="s">
        <v>23</v>
      </c>
      <c r="F60" s="48"/>
      <c r="G60" s="48"/>
      <c r="H60" s="48"/>
      <c r="I60" s="48"/>
      <c r="J60" s="13" t="s">
        <v>178</v>
      </c>
      <c r="K60" s="14"/>
    </row>
    <row r="61" spans="1:11" x14ac:dyDescent="0.35">
      <c r="A61" s="47"/>
      <c r="B61" s="47"/>
      <c r="C61" s="47"/>
      <c r="D61" s="15" t="s">
        <v>179</v>
      </c>
      <c r="E61" s="16" t="s">
        <v>23</v>
      </c>
      <c r="F61" s="48"/>
      <c r="G61" s="48"/>
      <c r="H61" s="48"/>
      <c r="I61" s="48"/>
      <c r="J61" s="17" t="s">
        <v>180</v>
      </c>
      <c r="K61" s="18"/>
    </row>
    <row r="62" spans="1:11" ht="15" customHeight="1" x14ac:dyDescent="0.35">
      <c r="A62" s="50">
        <v>20</v>
      </c>
      <c r="B62" s="50" t="s">
        <v>181</v>
      </c>
      <c r="C62" s="51" t="s">
        <v>182</v>
      </c>
      <c r="D62" s="19" t="s">
        <v>183</v>
      </c>
      <c r="E62" s="2" t="s">
        <v>16</v>
      </c>
      <c r="F62" s="51" t="s">
        <v>17</v>
      </c>
      <c r="G62" s="50" t="s">
        <v>92</v>
      </c>
      <c r="H62" s="50" t="s">
        <v>55</v>
      </c>
      <c r="I62" s="52" t="s">
        <v>20</v>
      </c>
      <c r="J62" s="20" t="s">
        <v>184</v>
      </c>
      <c r="K62" s="10"/>
    </row>
    <row r="63" spans="1:11" x14ac:dyDescent="0.35">
      <c r="A63" s="50"/>
      <c r="B63" s="50"/>
      <c r="C63" s="50"/>
      <c r="D63" s="21" t="s">
        <v>185</v>
      </c>
      <c r="E63" s="22" t="s">
        <v>23</v>
      </c>
      <c r="F63" s="51"/>
      <c r="G63" s="51"/>
      <c r="H63" s="51"/>
      <c r="I63" s="51"/>
      <c r="J63" s="23" t="s">
        <v>186</v>
      </c>
      <c r="K63" s="14"/>
    </row>
    <row r="64" spans="1:11" x14ac:dyDescent="0.35">
      <c r="A64" s="50"/>
      <c r="B64" s="50"/>
      <c r="C64" s="50"/>
      <c r="D64" s="24" t="s">
        <v>187</v>
      </c>
      <c r="E64" s="25" t="s">
        <v>23</v>
      </c>
      <c r="F64" s="51"/>
      <c r="G64" s="51"/>
      <c r="H64" s="51"/>
      <c r="I64" s="51"/>
      <c r="J64" s="26" t="s">
        <v>188</v>
      </c>
      <c r="K64" s="18"/>
    </row>
    <row r="65" spans="1:11" ht="15" customHeight="1" x14ac:dyDescent="0.35">
      <c r="A65" s="47">
        <v>21</v>
      </c>
      <c r="B65" s="47" t="s">
        <v>189</v>
      </c>
      <c r="C65" s="48" t="s">
        <v>190</v>
      </c>
      <c r="D65" s="8" t="s">
        <v>191</v>
      </c>
      <c r="E65" s="4" t="s">
        <v>16</v>
      </c>
      <c r="F65" s="48" t="s">
        <v>192</v>
      </c>
      <c r="G65" s="4" t="s">
        <v>30</v>
      </c>
      <c r="H65" s="47" t="s">
        <v>193</v>
      </c>
      <c r="I65" s="49" t="s">
        <v>20</v>
      </c>
      <c r="J65" s="9" t="s">
        <v>194</v>
      </c>
      <c r="K65" s="10"/>
    </row>
    <row r="66" spans="1:11" x14ac:dyDescent="0.35">
      <c r="A66" s="47"/>
      <c r="B66" s="47"/>
      <c r="C66" s="47"/>
      <c r="D66" s="11" t="s">
        <v>195</v>
      </c>
      <c r="E66" s="12" t="s">
        <v>23</v>
      </c>
      <c r="F66" s="48"/>
      <c r="G66" s="12" t="s">
        <v>42</v>
      </c>
      <c r="H66" s="47"/>
      <c r="I66" s="47"/>
      <c r="J66" s="13" t="s">
        <v>196</v>
      </c>
      <c r="K66" s="14"/>
    </row>
    <row r="67" spans="1:11" x14ac:dyDescent="0.35">
      <c r="A67" s="47"/>
      <c r="B67" s="47"/>
      <c r="C67" s="47"/>
      <c r="D67" s="15" t="s">
        <v>197</v>
      </c>
      <c r="E67" s="16" t="s">
        <v>23</v>
      </c>
      <c r="F67" s="48"/>
      <c r="G67" s="16" t="s">
        <v>30</v>
      </c>
      <c r="H67" s="47"/>
      <c r="I67" s="47"/>
      <c r="J67" s="17" t="s">
        <v>198</v>
      </c>
      <c r="K67" s="18"/>
    </row>
    <row r="68" spans="1:11" ht="15" customHeight="1" x14ac:dyDescent="0.35">
      <c r="A68" s="50">
        <v>22</v>
      </c>
      <c r="B68" s="50" t="s">
        <v>199</v>
      </c>
      <c r="C68" s="51" t="s">
        <v>200</v>
      </c>
      <c r="D68" s="19" t="s">
        <v>201</v>
      </c>
      <c r="E68" s="2" t="s">
        <v>16</v>
      </c>
      <c r="F68" s="51" t="s">
        <v>17</v>
      </c>
      <c r="G68" s="50" t="s">
        <v>92</v>
      </c>
      <c r="H68" s="50" t="s">
        <v>55</v>
      </c>
      <c r="I68" s="52" t="s">
        <v>20</v>
      </c>
      <c r="J68" s="20" t="s">
        <v>202</v>
      </c>
      <c r="K68" s="10"/>
    </row>
    <row r="69" spans="1:11" x14ac:dyDescent="0.35">
      <c r="A69" s="50"/>
      <c r="B69" s="50"/>
      <c r="C69" s="50"/>
      <c r="D69" s="21" t="s">
        <v>203</v>
      </c>
      <c r="E69" s="22" t="s">
        <v>23</v>
      </c>
      <c r="F69" s="51"/>
      <c r="G69" s="51"/>
      <c r="H69" s="51"/>
      <c r="I69" s="51"/>
      <c r="J69" s="23" t="s">
        <v>204</v>
      </c>
      <c r="K69" s="14"/>
    </row>
    <row r="70" spans="1:11" x14ac:dyDescent="0.35">
      <c r="A70" s="50"/>
      <c r="B70" s="50"/>
      <c r="C70" s="50"/>
      <c r="D70" s="24" t="s">
        <v>205</v>
      </c>
      <c r="E70" s="25" t="s">
        <v>23</v>
      </c>
      <c r="F70" s="51"/>
      <c r="G70" s="51"/>
      <c r="H70" s="51"/>
      <c r="I70" s="51"/>
      <c r="J70" s="26" t="s">
        <v>206</v>
      </c>
      <c r="K70" s="18"/>
    </row>
    <row r="71" spans="1:11" ht="15" customHeight="1" x14ac:dyDescent="0.35">
      <c r="A71" s="47">
        <v>23</v>
      </c>
      <c r="B71" s="47" t="s">
        <v>207</v>
      </c>
      <c r="C71" s="48" t="s">
        <v>208</v>
      </c>
      <c r="D71" s="8" t="s">
        <v>209</v>
      </c>
      <c r="E71" s="4" t="s">
        <v>16</v>
      </c>
      <c r="F71" s="48" t="s">
        <v>17</v>
      </c>
      <c r="G71" s="47" t="s">
        <v>92</v>
      </c>
      <c r="H71" s="47" t="s">
        <v>55</v>
      </c>
      <c r="I71" s="49" t="s">
        <v>20</v>
      </c>
      <c r="J71" s="9" t="s">
        <v>210</v>
      </c>
      <c r="K71" s="10"/>
    </row>
    <row r="72" spans="1:11" x14ac:dyDescent="0.35">
      <c r="A72" s="47"/>
      <c r="B72" s="47"/>
      <c r="C72" s="47"/>
      <c r="D72" s="11" t="s">
        <v>211</v>
      </c>
      <c r="E72" s="12" t="s">
        <v>23</v>
      </c>
      <c r="F72" s="48"/>
      <c r="G72" s="48"/>
      <c r="H72" s="48"/>
      <c r="I72" s="48"/>
      <c r="J72" s="13" t="s">
        <v>212</v>
      </c>
      <c r="K72" s="14"/>
    </row>
    <row r="73" spans="1:11" x14ac:dyDescent="0.35">
      <c r="A73" s="47"/>
      <c r="B73" s="47"/>
      <c r="C73" s="47"/>
      <c r="D73" s="15" t="s">
        <v>213</v>
      </c>
      <c r="E73" s="16" t="s">
        <v>23</v>
      </c>
      <c r="F73" s="48"/>
      <c r="G73" s="48"/>
      <c r="H73" s="48"/>
      <c r="I73" s="48"/>
      <c r="J73" s="17" t="s">
        <v>214</v>
      </c>
      <c r="K73" s="18"/>
    </row>
    <row r="74" spans="1:11" ht="15" customHeight="1" x14ac:dyDescent="0.35">
      <c r="A74" s="50">
        <v>24</v>
      </c>
      <c r="B74" s="50" t="s">
        <v>215</v>
      </c>
      <c r="C74" s="51" t="s">
        <v>216</v>
      </c>
      <c r="D74" s="19" t="s">
        <v>217</v>
      </c>
      <c r="E74" s="2" t="s">
        <v>16</v>
      </c>
      <c r="F74" s="51" t="s">
        <v>218</v>
      </c>
      <c r="G74" s="50" t="s">
        <v>42</v>
      </c>
      <c r="H74" s="50" t="s">
        <v>31</v>
      </c>
      <c r="I74" s="52" t="s">
        <v>20</v>
      </c>
      <c r="J74" s="20" t="s">
        <v>219</v>
      </c>
      <c r="K74" s="10"/>
    </row>
    <row r="75" spans="1:11" x14ac:dyDescent="0.35">
      <c r="A75" s="50"/>
      <c r="B75" s="50"/>
      <c r="C75" s="50"/>
      <c r="D75" s="21" t="s">
        <v>220</v>
      </c>
      <c r="E75" s="22" t="s">
        <v>23</v>
      </c>
      <c r="F75" s="51"/>
      <c r="G75" s="51"/>
      <c r="H75" s="51"/>
      <c r="I75" s="51"/>
      <c r="J75" s="23" t="s">
        <v>221</v>
      </c>
      <c r="K75" s="14"/>
    </row>
    <row r="76" spans="1:11" x14ac:dyDescent="0.35">
      <c r="A76" s="50"/>
      <c r="B76" s="50"/>
      <c r="C76" s="50"/>
      <c r="D76" s="24" t="s">
        <v>222</v>
      </c>
      <c r="E76" s="25" t="s">
        <v>23</v>
      </c>
      <c r="F76" s="51"/>
      <c r="G76" s="51"/>
      <c r="H76" s="51"/>
      <c r="I76" s="51"/>
      <c r="J76" s="26" t="s">
        <v>223</v>
      </c>
      <c r="K76" s="18"/>
    </row>
    <row r="77" spans="1:11" ht="15" customHeight="1" x14ac:dyDescent="0.35">
      <c r="A77" s="47">
        <v>25</v>
      </c>
      <c r="B77" s="47" t="s">
        <v>224</v>
      </c>
      <c r="C77" s="48" t="s">
        <v>216</v>
      </c>
      <c r="D77" s="8" t="s">
        <v>225</v>
      </c>
      <c r="E77" s="4" t="s">
        <v>16</v>
      </c>
      <c r="F77" s="48" t="s">
        <v>17</v>
      </c>
      <c r="G77" s="47" t="s">
        <v>42</v>
      </c>
      <c r="H77" s="47" t="s">
        <v>31</v>
      </c>
      <c r="I77" s="49" t="s">
        <v>20</v>
      </c>
      <c r="J77" s="9" t="s">
        <v>226</v>
      </c>
      <c r="K77" s="10"/>
    </row>
    <row r="78" spans="1:11" x14ac:dyDescent="0.35">
      <c r="A78" s="47"/>
      <c r="B78" s="47"/>
      <c r="C78" s="47"/>
      <c r="D78" s="11" t="s">
        <v>227</v>
      </c>
      <c r="E78" s="12" t="s">
        <v>23</v>
      </c>
      <c r="F78" s="48"/>
      <c r="G78" s="48"/>
      <c r="H78" s="48"/>
      <c r="I78" s="48"/>
      <c r="J78" s="13" t="s">
        <v>228</v>
      </c>
      <c r="K78" s="14"/>
    </row>
    <row r="79" spans="1:11" x14ac:dyDescent="0.35">
      <c r="A79" s="47"/>
      <c r="B79" s="47"/>
      <c r="C79" s="47"/>
      <c r="D79" s="15" t="s">
        <v>229</v>
      </c>
      <c r="E79" s="16" t="s">
        <v>23</v>
      </c>
      <c r="F79" s="48"/>
      <c r="G79" s="48"/>
      <c r="H79" s="48"/>
      <c r="I79" s="48"/>
      <c r="J79" s="17" t="s">
        <v>230</v>
      </c>
      <c r="K79" s="18"/>
    </row>
    <row r="80" spans="1:11" ht="15" customHeight="1" x14ac:dyDescent="0.35">
      <c r="A80" s="50">
        <v>26</v>
      </c>
      <c r="B80" s="50" t="s">
        <v>231</v>
      </c>
      <c r="C80" s="51" t="s">
        <v>232</v>
      </c>
      <c r="D80" s="19" t="s">
        <v>233</v>
      </c>
      <c r="E80" s="2" t="s">
        <v>16</v>
      </c>
      <c r="F80" s="51" t="s">
        <v>234</v>
      </c>
      <c r="G80" s="50" t="s">
        <v>30</v>
      </c>
      <c r="H80" s="50" t="s">
        <v>55</v>
      </c>
      <c r="I80" s="52" t="s">
        <v>20</v>
      </c>
      <c r="J80" s="20" t="s">
        <v>235</v>
      </c>
      <c r="K80" s="10"/>
    </row>
    <row r="81" spans="1:11" x14ac:dyDescent="0.35">
      <c r="A81" s="50"/>
      <c r="B81" s="50"/>
      <c r="C81" s="50"/>
      <c r="D81" s="21" t="s">
        <v>236</v>
      </c>
      <c r="E81" s="22" t="s">
        <v>23</v>
      </c>
      <c r="F81" s="51"/>
      <c r="G81" s="51"/>
      <c r="H81" s="51"/>
      <c r="I81" s="51"/>
      <c r="J81" s="23" t="s">
        <v>237</v>
      </c>
      <c r="K81" s="14"/>
    </row>
    <row r="82" spans="1:11" x14ac:dyDescent="0.35">
      <c r="A82" s="50"/>
      <c r="B82" s="50"/>
      <c r="C82" s="50"/>
      <c r="D82" s="24" t="s">
        <v>238</v>
      </c>
      <c r="E82" s="25" t="s">
        <v>23</v>
      </c>
      <c r="F82" s="51"/>
      <c r="G82" s="51"/>
      <c r="H82" s="51"/>
      <c r="I82" s="51"/>
      <c r="J82" s="26" t="s">
        <v>239</v>
      </c>
      <c r="K82" s="18"/>
    </row>
    <row r="83" spans="1:11" ht="15" customHeight="1" x14ac:dyDescent="0.35">
      <c r="A83" s="47">
        <v>27</v>
      </c>
      <c r="B83" s="47" t="s">
        <v>240</v>
      </c>
      <c r="C83" s="48" t="s">
        <v>241</v>
      </c>
      <c r="D83" s="8" t="s">
        <v>242</v>
      </c>
      <c r="E83" s="4" t="s">
        <v>16</v>
      </c>
      <c r="F83" s="48" t="s">
        <v>243</v>
      </c>
      <c r="G83" s="47" t="s">
        <v>92</v>
      </c>
      <c r="H83" s="47" t="s">
        <v>55</v>
      </c>
      <c r="I83" s="49" t="s">
        <v>20</v>
      </c>
      <c r="J83" s="9" t="s">
        <v>244</v>
      </c>
      <c r="K83" s="10"/>
    </row>
    <row r="84" spans="1:11" x14ac:dyDescent="0.35">
      <c r="A84" s="47"/>
      <c r="B84" s="47"/>
      <c r="C84" s="47"/>
      <c r="D84" s="11" t="s">
        <v>245</v>
      </c>
      <c r="E84" s="12" t="s">
        <v>23</v>
      </c>
      <c r="F84" s="48"/>
      <c r="G84" s="48"/>
      <c r="H84" s="48"/>
      <c r="I84" s="48"/>
      <c r="J84" s="13" t="s">
        <v>246</v>
      </c>
      <c r="K84" s="14"/>
    </row>
    <row r="85" spans="1:11" x14ac:dyDescent="0.35">
      <c r="A85" s="47"/>
      <c r="B85" s="47"/>
      <c r="C85" s="47"/>
      <c r="D85" s="15" t="s">
        <v>247</v>
      </c>
      <c r="E85" s="16" t="s">
        <v>23</v>
      </c>
      <c r="F85" s="48"/>
      <c r="G85" s="48"/>
      <c r="H85" s="48"/>
      <c r="I85" s="48"/>
      <c r="J85" s="17" t="s">
        <v>248</v>
      </c>
      <c r="K85" s="18"/>
    </row>
    <row r="86" spans="1:11" ht="15" customHeight="1" x14ac:dyDescent="0.35">
      <c r="A86" s="50">
        <v>28</v>
      </c>
      <c r="B86" s="50" t="s">
        <v>249</v>
      </c>
      <c r="C86" s="51" t="s">
        <v>250</v>
      </c>
      <c r="D86" s="19" t="s">
        <v>251</v>
      </c>
      <c r="E86" s="2" t="s">
        <v>16</v>
      </c>
      <c r="F86" s="51" t="s">
        <v>17</v>
      </c>
      <c r="G86" s="50" t="s">
        <v>92</v>
      </c>
      <c r="H86" s="50" t="s">
        <v>55</v>
      </c>
      <c r="I86" s="52" t="s">
        <v>20</v>
      </c>
      <c r="J86" s="20" t="s">
        <v>252</v>
      </c>
      <c r="K86" s="10"/>
    </row>
    <row r="87" spans="1:11" x14ac:dyDescent="0.35">
      <c r="A87" s="50"/>
      <c r="B87" s="50"/>
      <c r="C87" s="50"/>
      <c r="D87" s="21" t="s">
        <v>253</v>
      </c>
      <c r="E87" s="22" t="s">
        <v>23</v>
      </c>
      <c r="F87" s="51"/>
      <c r="G87" s="51"/>
      <c r="H87" s="51"/>
      <c r="I87" s="51"/>
      <c r="J87" s="23" t="s">
        <v>254</v>
      </c>
      <c r="K87" s="14"/>
    </row>
    <row r="88" spans="1:11" x14ac:dyDescent="0.35">
      <c r="A88" s="50"/>
      <c r="B88" s="50"/>
      <c r="C88" s="50"/>
      <c r="D88" s="24" t="s">
        <v>255</v>
      </c>
      <c r="E88" s="25" t="s">
        <v>23</v>
      </c>
      <c r="F88" s="51"/>
      <c r="G88" s="51"/>
      <c r="H88" s="51"/>
      <c r="I88" s="51"/>
      <c r="J88" s="26" t="s">
        <v>256</v>
      </c>
      <c r="K88" s="18"/>
    </row>
    <row r="89" spans="1:11" ht="15" customHeight="1" x14ac:dyDescent="0.35">
      <c r="A89" s="47">
        <v>29</v>
      </c>
      <c r="B89" s="47" t="s">
        <v>257</v>
      </c>
      <c r="C89" s="48" t="s">
        <v>258</v>
      </c>
      <c r="D89" s="8" t="s">
        <v>259</v>
      </c>
      <c r="E89" s="4" t="s">
        <v>16</v>
      </c>
      <c r="F89" s="48" t="s">
        <v>17</v>
      </c>
      <c r="G89" s="47" t="s">
        <v>92</v>
      </c>
      <c r="H89" s="47" t="s">
        <v>31</v>
      </c>
      <c r="I89" s="49" t="s">
        <v>20</v>
      </c>
      <c r="J89" s="9" t="s">
        <v>260</v>
      </c>
      <c r="K89" s="10"/>
    </row>
    <row r="90" spans="1:11" x14ac:dyDescent="0.35">
      <c r="A90" s="47"/>
      <c r="B90" s="47"/>
      <c r="C90" s="47"/>
      <c r="D90" s="11" t="s">
        <v>261</v>
      </c>
      <c r="E90" s="12" t="s">
        <v>23</v>
      </c>
      <c r="F90" s="48"/>
      <c r="G90" s="48"/>
      <c r="H90" s="48"/>
      <c r="I90" s="48"/>
      <c r="J90" s="13" t="s">
        <v>262</v>
      </c>
      <c r="K90" s="14"/>
    </row>
    <row r="91" spans="1:11" x14ac:dyDescent="0.35">
      <c r="A91" s="47"/>
      <c r="B91" s="47"/>
      <c r="C91" s="47"/>
      <c r="D91" s="15" t="s">
        <v>263</v>
      </c>
      <c r="E91" s="16" t="s">
        <v>23</v>
      </c>
      <c r="F91" s="48"/>
      <c r="G91" s="48"/>
      <c r="H91" s="48"/>
      <c r="I91" s="48"/>
      <c r="J91" s="17" t="s">
        <v>264</v>
      </c>
      <c r="K91" s="18"/>
    </row>
    <row r="92" spans="1:11" ht="15" customHeight="1" x14ac:dyDescent="0.35">
      <c r="A92" s="50">
        <v>30</v>
      </c>
      <c r="B92" s="50" t="s">
        <v>265</v>
      </c>
      <c r="C92" s="51" t="s">
        <v>266</v>
      </c>
      <c r="D92" s="19" t="s">
        <v>267</v>
      </c>
      <c r="E92" s="2" t="s">
        <v>16</v>
      </c>
      <c r="F92" s="51" t="s">
        <v>17</v>
      </c>
      <c r="G92" s="50" t="s">
        <v>30</v>
      </c>
      <c r="H92" s="50" t="s">
        <v>31</v>
      </c>
      <c r="I92" s="52" t="s">
        <v>20</v>
      </c>
      <c r="J92" s="20" t="s">
        <v>268</v>
      </c>
      <c r="K92" s="10"/>
    </row>
    <row r="93" spans="1:11" x14ac:dyDescent="0.35">
      <c r="A93" s="50"/>
      <c r="B93" s="50"/>
      <c r="C93" s="50"/>
      <c r="D93" s="21" t="s">
        <v>269</v>
      </c>
      <c r="E93" s="22" t="s">
        <v>23</v>
      </c>
      <c r="F93" s="51"/>
      <c r="G93" s="51"/>
      <c r="H93" s="51"/>
      <c r="I93" s="51"/>
      <c r="J93" s="23" t="s">
        <v>270</v>
      </c>
      <c r="K93" s="14"/>
    </row>
    <row r="94" spans="1:11" x14ac:dyDescent="0.35">
      <c r="A94" s="50"/>
      <c r="B94" s="50"/>
      <c r="C94" s="50"/>
      <c r="D94" s="24" t="s">
        <v>271</v>
      </c>
      <c r="E94" s="25" t="s">
        <v>23</v>
      </c>
      <c r="F94" s="51"/>
      <c r="G94" s="51"/>
      <c r="H94" s="51"/>
      <c r="I94" s="51"/>
      <c r="J94" s="26" t="s">
        <v>272</v>
      </c>
      <c r="K94" s="18"/>
    </row>
    <row r="95" spans="1:11" ht="15" customHeight="1" x14ac:dyDescent="0.35">
      <c r="A95" s="47">
        <v>31</v>
      </c>
      <c r="B95" s="47" t="s">
        <v>273</v>
      </c>
      <c r="C95" s="48" t="s">
        <v>274</v>
      </c>
      <c r="D95" s="8" t="s">
        <v>275</v>
      </c>
      <c r="E95" s="4" t="s">
        <v>16</v>
      </c>
      <c r="F95" s="48" t="s">
        <v>218</v>
      </c>
      <c r="G95" s="47" t="s">
        <v>42</v>
      </c>
      <c r="H95" s="47" t="s">
        <v>55</v>
      </c>
      <c r="I95" s="49" t="s">
        <v>20</v>
      </c>
      <c r="J95" s="9" t="s">
        <v>276</v>
      </c>
      <c r="K95" s="10"/>
    </row>
    <row r="96" spans="1:11" x14ac:dyDescent="0.35">
      <c r="A96" s="47"/>
      <c r="B96" s="47"/>
      <c r="C96" s="47"/>
      <c r="D96" s="11" t="s">
        <v>277</v>
      </c>
      <c r="E96" s="12" t="s">
        <v>23</v>
      </c>
      <c r="F96" s="48"/>
      <c r="G96" s="48"/>
      <c r="H96" s="48"/>
      <c r="I96" s="48"/>
      <c r="J96" s="13" t="s">
        <v>278</v>
      </c>
      <c r="K96" s="14"/>
    </row>
    <row r="97" spans="1:11" x14ac:dyDescent="0.35">
      <c r="A97" s="47"/>
      <c r="B97" s="47"/>
      <c r="C97" s="47"/>
      <c r="D97" s="15" t="s">
        <v>279</v>
      </c>
      <c r="E97" s="16" t="s">
        <v>23</v>
      </c>
      <c r="F97" s="48"/>
      <c r="G97" s="48"/>
      <c r="H97" s="48"/>
      <c r="I97" s="48"/>
      <c r="J97" s="17" t="s">
        <v>280</v>
      </c>
      <c r="K97" s="18"/>
    </row>
    <row r="98" spans="1:11" ht="15" customHeight="1" x14ac:dyDescent="0.35">
      <c r="A98" s="50">
        <v>32</v>
      </c>
      <c r="B98" s="50" t="s">
        <v>281</v>
      </c>
      <c r="C98" s="51" t="s">
        <v>282</v>
      </c>
      <c r="D98" s="19" t="s">
        <v>283</v>
      </c>
      <c r="E98" s="2" t="s">
        <v>16</v>
      </c>
      <c r="F98" s="51" t="s">
        <v>284</v>
      </c>
      <c r="G98" s="50" t="s">
        <v>92</v>
      </c>
      <c r="H98" s="2" t="s">
        <v>193</v>
      </c>
      <c r="I98" s="52" t="s">
        <v>20</v>
      </c>
      <c r="J98" s="20" t="s">
        <v>285</v>
      </c>
      <c r="K98" s="10"/>
    </row>
    <row r="99" spans="1:11" x14ac:dyDescent="0.35">
      <c r="A99" s="50"/>
      <c r="B99" s="50"/>
      <c r="C99" s="50"/>
      <c r="D99" s="21" t="s">
        <v>286</v>
      </c>
      <c r="E99" s="22" t="s">
        <v>23</v>
      </c>
      <c r="F99" s="51"/>
      <c r="G99" s="51"/>
      <c r="H99" s="22" t="s">
        <v>55</v>
      </c>
      <c r="I99" s="52"/>
      <c r="J99" s="23" t="s">
        <v>287</v>
      </c>
      <c r="K99" s="14"/>
    </row>
    <row r="100" spans="1:11" x14ac:dyDescent="0.35">
      <c r="A100" s="50"/>
      <c r="B100" s="50"/>
      <c r="C100" s="50"/>
      <c r="D100" s="24" t="s">
        <v>288</v>
      </c>
      <c r="E100" s="25" t="s">
        <v>23</v>
      </c>
      <c r="F100" s="51"/>
      <c r="G100" s="51"/>
      <c r="H100" s="25" t="s">
        <v>55</v>
      </c>
      <c r="I100" s="52"/>
      <c r="J100" s="26" t="s">
        <v>289</v>
      </c>
      <c r="K100" s="18"/>
    </row>
    <row r="101" spans="1:11" ht="15" customHeight="1" x14ac:dyDescent="0.35">
      <c r="A101" s="47">
        <v>33</v>
      </c>
      <c r="B101" s="47" t="s">
        <v>290</v>
      </c>
      <c r="C101" s="48" t="s">
        <v>291</v>
      </c>
      <c r="D101" s="8" t="s">
        <v>292</v>
      </c>
      <c r="E101" s="4" t="s">
        <v>16</v>
      </c>
      <c r="F101" s="3" t="s">
        <v>293</v>
      </c>
      <c r="G101" s="4" t="s">
        <v>294</v>
      </c>
      <c r="H101" s="47" t="s">
        <v>55</v>
      </c>
      <c r="I101" s="49" t="s">
        <v>20</v>
      </c>
      <c r="J101" s="9" t="s">
        <v>295</v>
      </c>
      <c r="K101" s="10"/>
    </row>
    <row r="102" spans="1:11" x14ac:dyDescent="0.35">
      <c r="A102" s="47"/>
      <c r="B102" s="47"/>
      <c r="C102" s="47"/>
      <c r="D102" s="11" t="s">
        <v>296</v>
      </c>
      <c r="E102" s="12" t="s">
        <v>23</v>
      </c>
      <c r="F102" s="11" t="s">
        <v>17</v>
      </c>
      <c r="G102" s="12" t="s">
        <v>92</v>
      </c>
      <c r="H102" s="47"/>
      <c r="I102" s="47"/>
      <c r="J102" s="13" t="s">
        <v>297</v>
      </c>
      <c r="K102" s="14"/>
    </row>
    <row r="103" spans="1:11" x14ac:dyDescent="0.35">
      <c r="A103" s="47"/>
      <c r="B103" s="47"/>
      <c r="C103" s="47"/>
      <c r="D103" s="15" t="s">
        <v>298</v>
      </c>
      <c r="E103" s="16" t="s">
        <v>23</v>
      </c>
      <c r="F103" s="15" t="s">
        <v>299</v>
      </c>
      <c r="G103" s="16" t="s">
        <v>300</v>
      </c>
      <c r="H103" s="47"/>
      <c r="I103" s="47"/>
      <c r="J103" s="17" t="s">
        <v>301</v>
      </c>
      <c r="K103" s="18"/>
    </row>
    <row r="104" spans="1:11" ht="15" customHeight="1" x14ac:dyDescent="0.35">
      <c r="A104" s="50">
        <v>34</v>
      </c>
      <c r="B104" s="50" t="s">
        <v>302</v>
      </c>
      <c r="C104" s="51" t="s">
        <v>303</v>
      </c>
      <c r="D104" s="19" t="s">
        <v>304</v>
      </c>
      <c r="E104" s="2" t="s">
        <v>16</v>
      </c>
      <c r="F104" s="51" t="s">
        <v>17</v>
      </c>
      <c r="G104" s="50" t="s">
        <v>92</v>
      </c>
      <c r="H104" s="50" t="s">
        <v>31</v>
      </c>
      <c r="I104" s="52" t="s">
        <v>20</v>
      </c>
      <c r="J104" s="20" t="s">
        <v>305</v>
      </c>
      <c r="K104" s="10"/>
    </row>
    <row r="105" spans="1:11" x14ac:dyDescent="0.35">
      <c r="A105" s="50"/>
      <c r="B105" s="50"/>
      <c r="C105" s="50"/>
      <c r="D105" s="21" t="s">
        <v>306</v>
      </c>
      <c r="E105" s="22" t="s">
        <v>23</v>
      </c>
      <c r="F105" s="51"/>
      <c r="G105" s="51"/>
      <c r="H105" s="51"/>
      <c r="I105" s="51"/>
      <c r="J105" s="23" t="s">
        <v>307</v>
      </c>
      <c r="K105" s="14"/>
    </row>
    <row r="106" spans="1:11" x14ac:dyDescent="0.35">
      <c r="A106" s="50"/>
      <c r="B106" s="50"/>
      <c r="C106" s="50"/>
      <c r="D106" s="24" t="s">
        <v>308</v>
      </c>
      <c r="E106" s="25" t="s">
        <v>23</v>
      </c>
      <c r="F106" s="51"/>
      <c r="G106" s="51"/>
      <c r="H106" s="51"/>
      <c r="I106" s="51"/>
      <c r="J106" s="26" t="s">
        <v>309</v>
      </c>
      <c r="K106" s="18"/>
    </row>
    <row r="107" spans="1:11" ht="15" customHeight="1" x14ac:dyDescent="0.35">
      <c r="A107" s="47">
        <v>35</v>
      </c>
      <c r="B107" s="47" t="s">
        <v>310</v>
      </c>
      <c r="C107" s="48" t="s">
        <v>303</v>
      </c>
      <c r="D107" s="8" t="s">
        <v>311</v>
      </c>
      <c r="E107" s="4" t="s">
        <v>16</v>
      </c>
      <c r="F107" s="48" t="s">
        <v>17</v>
      </c>
      <c r="G107" s="47" t="s">
        <v>42</v>
      </c>
      <c r="H107" s="47" t="s">
        <v>55</v>
      </c>
      <c r="I107" s="49" t="s">
        <v>20</v>
      </c>
      <c r="J107" s="9" t="s">
        <v>312</v>
      </c>
      <c r="K107" s="10"/>
    </row>
    <row r="108" spans="1:11" x14ac:dyDescent="0.35">
      <c r="A108" s="47"/>
      <c r="B108" s="47"/>
      <c r="C108" s="47"/>
      <c r="D108" s="11" t="s">
        <v>313</v>
      </c>
      <c r="E108" s="12" t="s">
        <v>23</v>
      </c>
      <c r="F108" s="48"/>
      <c r="G108" s="48"/>
      <c r="H108" s="48"/>
      <c r="I108" s="48"/>
      <c r="J108" s="13" t="s">
        <v>314</v>
      </c>
      <c r="K108" s="14"/>
    </row>
    <row r="109" spans="1:11" x14ac:dyDescent="0.35">
      <c r="A109" s="47"/>
      <c r="B109" s="47"/>
      <c r="C109" s="47"/>
      <c r="D109" s="15" t="s">
        <v>315</v>
      </c>
      <c r="E109" s="16" t="s">
        <v>23</v>
      </c>
      <c r="F109" s="48"/>
      <c r="G109" s="48"/>
      <c r="H109" s="48"/>
      <c r="I109" s="48"/>
      <c r="J109" s="17" t="s">
        <v>316</v>
      </c>
      <c r="K109" s="18"/>
    </row>
    <row r="110" spans="1:11" ht="15" customHeight="1" x14ac:dyDescent="0.35">
      <c r="A110" s="50">
        <v>36</v>
      </c>
      <c r="B110" s="50" t="s">
        <v>317</v>
      </c>
      <c r="C110" s="51" t="s">
        <v>318</v>
      </c>
      <c r="D110" s="19" t="s">
        <v>319</v>
      </c>
      <c r="E110" s="2" t="s">
        <v>16</v>
      </c>
      <c r="F110" s="1" t="s">
        <v>320</v>
      </c>
      <c r="G110" s="2" t="s">
        <v>300</v>
      </c>
      <c r="H110" s="50" t="s">
        <v>55</v>
      </c>
      <c r="I110" s="52" t="s">
        <v>20</v>
      </c>
      <c r="J110" s="20" t="s">
        <v>321</v>
      </c>
      <c r="K110" s="10"/>
    </row>
    <row r="111" spans="1:11" x14ac:dyDescent="0.35">
      <c r="A111" s="50"/>
      <c r="B111" s="50"/>
      <c r="C111" s="50"/>
      <c r="D111" s="21" t="s">
        <v>322</v>
      </c>
      <c r="E111" s="22" t="s">
        <v>23</v>
      </c>
      <c r="F111" s="21" t="s">
        <v>323</v>
      </c>
      <c r="G111" s="22" t="s">
        <v>324</v>
      </c>
      <c r="H111" s="50"/>
      <c r="I111" s="50"/>
      <c r="J111" s="23" t="s">
        <v>325</v>
      </c>
      <c r="K111" s="14"/>
    </row>
    <row r="112" spans="1:11" x14ac:dyDescent="0.35">
      <c r="A112" s="50"/>
      <c r="B112" s="50"/>
      <c r="C112" s="50"/>
      <c r="D112" s="24" t="s">
        <v>326</v>
      </c>
      <c r="E112" s="25" t="s">
        <v>23</v>
      </c>
      <c r="F112" s="24" t="s">
        <v>323</v>
      </c>
      <c r="G112" s="25" t="s">
        <v>324</v>
      </c>
      <c r="H112" s="50"/>
      <c r="I112" s="50"/>
      <c r="J112" s="26" t="s">
        <v>327</v>
      </c>
      <c r="K112" s="18"/>
    </row>
    <row r="113" spans="1:11" ht="15" customHeight="1" x14ac:dyDescent="0.35">
      <c r="A113" s="47">
        <v>37</v>
      </c>
      <c r="B113" s="47" t="s">
        <v>328</v>
      </c>
      <c r="C113" s="48" t="s">
        <v>329</v>
      </c>
      <c r="D113" s="8" t="s">
        <v>330</v>
      </c>
      <c r="E113" s="4" t="s">
        <v>16</v>
      </c>
      <c r="F113" s="48" t="s">
        <v>17</v>
      </c>
      <c r="G113" s="47" t="s">
        <v>92</v>
      </c>
      <c r="H113" s="47" t="s">
        <v>31</v>
      </c>
      <c r="I113" s="49" t="s">
        <v>20</v>
      </c>
      <c r="J113" s="9" t="s">
        <v>331</v>
      </c>
      <c r="K113" s="10"/>
    </row>
    <row r="114" spans="1:11" x14ac:dyDescent="0.35">
      <c r="A114" s="47"/>
      <c r="B114" s="47"/>
      <c r="C114" s="47"/>
      <c r="D114" s="11" t="s">
        <v>332</v>
      </c>
      <c r="E114" s="12" t="s">
        <v>23</v>
      </c>
      <c r="F114" s="48"/>
      <c r="G114" s="48"/>
      <c r="H114" s="48"/>
      <c r="I114" s="48"/>
      <c r="J114" s="13" t="s">
        <v>333</v>
      </c>
      <c r="K114" s="14"/>
    </row>
    <row r="115" spans="1:11" x14ac:dyDescent="0.35">
      <c r="A115" s="47"/>
      <c r="B115" s="47"/>
      <c r="C115" s="47"/>
      <c r="D115" s="15" t="s">
        <v>334</v>
      </c>
      <c r="E115" s="16" t="s">
        <v>23</v>
      </c>
      <c r="F115" s="48"/>
      <c r="G115" s="48"/>
      <c r="H115" s="48"/>
      <c r="I115" s="48"/>
      <c r="J115" s="17" t="s">
        <v>335</v>
      </c>
      <c r="K115" s="18"/>
    </row>
    <row r="116" spans="1:11" ht="15" customHeight="1" x14ac:dyDescent="0.35">
      <c r="A116" s="50">
        <v>38</v>
      </c>
      <c r="B116" s="50" t="s">
        <v>336</v>
      </c>
      <c r="C116" s="51" t="s">
        <v>337</v>
      </c>
      <c r="D116" s="19" t="s">
        <v>338</v>
      </c>
      <c r="E116" s="2" t="s">
        <v>16</v>
      </c>
      <c r="F116" s="51" t="s">
        <v>17</v>
      </c>
      <c r="G116" s="50" t="s">
        <v>30</v>
      </c>
      <c r="H116" s="50" t="s">
        <v>55</v>
      </c>
      <c r="I116" s="52" t="s">
        <v>20</v>
      </c>
      <c r="J116" s="20" t="s">
        <v>339</v>
      </c>
      <c r="K116" s="10"/>
    </row>
    <row r="117" spans="1:11" x14ac:dyDescent="0.35">
      <c r="A117" s="50"/>
      <c r="B117" s="50"/>
      <c r="C117" s="50"/>
      <c r="D117" s="21" t="s">
        <v>340</v>
      </c>
      <c r="E117" s="22" t="s">
        <v>23</v>
      </c>
      <c r="F117" s="51"/>
      <c r="G117" s="51"/>
      <c r="H117" s="51"/>
      <c r="I117" s="51"/>
      <c r="J117" s="23" t="s">
        <v>341</v>
      </c>
      <c r="K117" s="14"/>
    </row>
    <row r="118" spans="1:11" x14ac:dyDescent="0.35">
      <c r="A118" s="50"/>
      <c r="B118" s="50"/>
      <c r="C118" s="50"/>
      <c r="D118" s="24" t="s">
        <v>342</v>
      </c>
      <c r="E118" s="25" t="s">
        <v>23</v>
      </c>
      <c r="F118" s="51"/>
      <c r="G118" s="51"/>
      <c r="H118" s="51"/>
      <c r="I118" s="51"/>
      <c r="J118" s="26" t="s">
        <v>343</v>
      </c>
      <c r="K118" s="18"/>
    </row>
    <row r="119" spans="1:11" ht="15" customHeight="1" x14ac:dyDescent="0.35">
      <c r="A119" s="47">
        <v>39</v>
      </c>
      <c r="B119" s="47" t="s">
        <v>344</v>
      </c>
      <c r="C119" s="48" t="s">
        <v>345</v>
      </c>
      <c r="D119" s="8" t="s">
        <v>346</v>
      </c>
      <c r="E119" s="4" t="s">
        <v>16</v>
      </c>
      <c r="F119" s="48" t="s">
        <v>234</v>
      </c>
      <c r="G119" s="4" t="s">
        <v>92</v>
      </c>
      <c r="H119" s="47" t="s">
        <v>55</v>
      </c>
      <c r="I119" s="49" t="s">
        <v>20</v>
      </c>
      <c r="J119" s="9" t="s">
        <v>347</v>
      </c>
      <c r="K119" s="10"/>
    </row>
    <row r="120" spans="1:11" x14ac:dyDescent="0.35">
      <c r="A120" s="47"/>
      <c r="B120" s="47"/>
      <c r="C120" s="47"/>
      <c r="D120" s="11" t="s">
        <v>348</v>
      </c>
      <c r="E120" s="12" t="s">
        <v>23</v>
      </c>
      <c r="F120" s="48"/>
      <c r="G120" s="12" t="s">
        <v>30</v>
      </c>
      <c r="H120" s="47"/>
      <c r="I120" s="47"/>
      <c r="J120" s="13" t="s">
        <v>349</v>
      </c>
      <c r="K120" s="14"/>
    </row>
    <row r="121" spans="1:11" x14ac:dyDescent="0.35">
      <c r="A121" s="47"/>
      <c r="B121" s="47"/>
      <c r="C121" s="47"/>
      <c r="D121" s="15" t="s">
        <v>350</v>
      </c>
      <c r="E121" s="16" t="s">
        <v>23</v>
      </c>
      <c r="F121" s="48"/>
      <c r="G121" s="16" t="s">
        <v>30</v>
      </c>
      <c r="H121" s="47"/>
      <c r="I121" s="47"/>
      <c r="J121" s="17" t="s">
        <v>351</v>
      </c>
      <c r="K121" s="18"/>
    </row>
    <row r="122" spans="1:11" ht="15" customHeight="1" x14ac:dyDescent="0.35">
      <c r="A122" s="50">
        <v>40</v>
      </c>
      <c r="B122" s="50" t="s">
        <v>352</v>
      </c>
      <c r="C122" s="51" t="s">
        <v>353</v>
      </c>
      <c r="D122" s="19" t="s">
        <v>354</v>
      </c>
      <c r="E122" s="2" t="s">
        <v>16</v>
      </c>
      <c r="F122" s="51" t="s">
        <v>17</v>
      </c>
      <c r="G122" s="50" t="s">
        <v>18</v>
      </c>
      <c r="H122" s="50" t="s">
        <v>55</v>
      </c>
      <c r="I122" s="52" t="s">
        <v>20</v>
      </c>
      <c r="J122" s="20" t="s">
        <v>355</v>
      </c>
      <c r="K122" s="10"/>
    </row>
    <row r="123" spans="1:11" x14ac:dyDescent="0.35">
      <c r="A123" s="50"/>
      <c r="B123" s="50"/>
      <c r="C123" s="50"/>
      <c r="D123" s="21" t="s">
        <v>356</v>
      </c>
      <c r="E123" s="22" t="s">
        <v>23</v>
      </c>
      <c r="F123" s="51"/>
      <c r="G123" s="51"/>
      <c r="H123" s="51"/>
      <c r="I123" s="51"/>
      <c r="J123" s="23" t="s">
        <v>357</v>
      </c>
      <c r="K123" s="14"/>
    </row>
    <row r="124" spans="1:11" x14ac:dyDescent="0.35">
      <c r="A124" s="50"/>
      <c r="B124" s="50"/>
      <c r="C124" s="50"/>
      <c r="D124" s="24" t="s">
        <v>358</v>
      </c>
      <c r="E124" s="25" t="s">
        <v>23</v>
      </c>
      <c r="F124" s="51"/>
      <c r="G124" s="51"/>
      <c r="H124" s="51"/>
      <c r="I124" s="51"/>
      <c r="J124" s="26" t="s">
        <v>359</v>
      </c>
      <c r="K124" s="18"/>
    </row>
    <row r="125" spans="1:11" ht="23.9" customHeight="1" x14ac:dyDescent="0.35">
      <c r="A125" s="47">
        <v>41</v>
      </c>
      <c r="B125" s="47" t="s">
        <v>360</v>
      </c>
      <c r="C125" s="48" t="s">
        <v>361</v>
      </c>
      <c r="D125" s="8" t="s">
        <v>362</v>
      </c>
      <c r="E125" s="4" t="s">
        <v>16</v>
      </c>
      <c r="F125" s="48" t="s">
        <v>17</v>
      </c>
      <c r="G125" s="47" t="s">
        <v>42</v>
      </c>
      <c r="H125" s="47" t="s">
        <v>31</v>
      </c>
      <c r="I125" s="49" t="s">
        <v>20</v>
      </c>
      <c r="J125" s="9" t="s">
        <v>363</v>
      </c>
      <c r="K125" s="10"/>
    </row>
    <row r="126" spans="1:11" x14ac:dyDescent="0.35">
      <c r="A126" s="47"/>
      <c r="B126" s="47"/>
      <c r="C126" s="47"/>
      <c r="D126" s="11" t="s">
        <v>364</v>
      </c>
      <c r="E126" s="12" t="s">
        <v>23</v>
      </c>
      <c r="F126" s="48"/>
      <c r="G126" s="48"/>
      <c r="H126" s="48"/>
      <c r="I126" s="48"/>
      <c r="J126" s="13" t="s">
        <v>365</v>
      </c>
      <c r="K126" s="14"/>
    </row>
    <row r="127" spans="1:11" x14ac:dyDescent="0.35">
      <c r="A127" s="47"/>
      <c r="B127" s="47"/>
      <c r="C127" s="47"/>
      <c r="D127" s="15" t="s">
        <v>366</v>
      </c>
      <c r="E127" s="16" t="s">
        <v>23</v>
      </c>
      <c r="F127" s="48"/>
      <c r="G127" s="48"/>
      <c r="H127" s="48"/>
      <c r="I127" s="48"/>
      <c r="J127" s="17" t="s">
        <v>367</v>
      </c>
      <c r="K127" s="18"/>
    </row>
    <row r="128" spans="1:11" ht="15" customHeight="1" x14ac:dyDescent="0.35">
      <c r="A128" s="50">
        <v>42</v>
      </c>
      <c r="B128" s="50" t="s">
        <v>368</v>
      </c>
      <c r="C128" s="51" t="s">
        <v>369</v>
      </c>
      <c r="D128" s="19" t="s">
        <v>370</v>
      </c>
      <c r="E128" s="2" t="s">
        <v>16</v>
      </c>
      <c r="F128" s="51" t="s">
        <v>371</v>
      </c>
      <c r="G128" s="50" t="s">
        <v>92</v>
      </c>
      <c r="H128" s="50" t="s">
        <v>31</v>
      </c>
      <c r="I128" s="52" t="s">
        <v>20</v>
      </c>
      <c r="J128" s="20" t="s">
        <v>372</v>
      </c>
      <c r="K128" s="10"/>
    </row>
    <row r="129" spans="1:11" x14ac:dyDescent="0.35">
      <c r="A129" s="50"/>
      <c r="B129" s="50"/>
      <c r="C129" s="50"/>
      <c r="D129" s="21" t="s">
        <v>373</v>
      </c>
      <c r="E129" s="22" t="s">
        <v>23</v>
      </c>
      <c r="F129" s="51"/>
      <c r="G129" s="51"/>
      <c r="H129" s="51"/>
      <c r="I129" s="51"/>
      <c r="J129" s="23" t="s">
        <v>374</v>
      </c>
      <c r="K129" s="14"/>
    </row>
    <row r="130" spans="1:11" x14ac:dyDescent="0.35">
      <c r="A130" s="50"/>
      <c r="B130" s="50"/>
      <c r="C130" s="50"/>
      <c r="D130" s="24" t="s">
        <v>375</v>
      </c>
      <c r="E130" s="25" t="s">
        <v>23</v>
      </c>
      <c r="F130" s="51"/>
      <c r="G130" s="51"/>
      <c r="H130" s="51"/>
      <c r="I130" s="51"/>
      <c r="J130" s="26" t="s">
        <v>376</v>
      </c>
      <c r="K130" s="18"/>
    </row>
    <row r="131" spans="1:11" ht="15" customHeight="1" x14ac:dyDescent="0.35">
      <c r="A131" s="47">
        <v>43</v>
      </c>
      <c r="B131" s="47" t="s">
        <v>377</v>
      </c>
      <c r="C131" s="48" t="s">
        <v>378</v>
      </c>
      <c r="D131" s="8" t="s">
        <v>379</v>
      </c>
      <c r="E131" s="4" t="s">
        <v>16</v>
      </c>
      <c r="F131" s="48" t="s">
        <v>380</v>
      </c>
      <c r="G131" s="47" t="s">
        <v>30</v>
      </c>
      <c r="H131" s="47" t="s">
        <v>31</v>
      </c>
      <c r="I131" s="49" t="s">
        <v>20</v>
      </c>
      <c r="J131" s="9" t="s">
        <v>381</v>
      </c>
      <c r="K131" s="10"/>
    </row>
    <row r="132" spans="1:11" x14ac:dyDescent="0.35">
      <c r="A132" s="47"/>
      <c r="B132" s="47"/>
      <c r="C132" s="47"/>
      <c r="D132" s="11" t="s">
        <v>382</v>
      </c>
      <c r="E132" s="12" t="s">
        <v>23</v>
      </c>
      <c r="F132" s="48"/>
      <c r="G132" s="48"/>
      <c r="H132" s="48"/>
      <c r="I132" s="48"/>
      <c r="J132" s="13" t="s">
        <v>383</v>
      </c>
      <c r="K132" s="14"/>
    </row>
    <row r="133" spans="1:11" x14ac:dyDescent="0.35">
      <c r="A133" s="47"/>
      <c r="B133" s="47"/>
      <c r="C133" s="47"/>
      <c r="D133" s="15" t="s">
        <v>384</v>
      </c>
      <c r="E133" s="16" t="s">
        <v>23</v>
      </c>
      <c r="F133" s="48"/>
      <c r="G133" s="48"/>
      <c r="H133" s="48"/>
      <c r="I133" s="48"/>
      <c r="J133" s="17" t="s">
        <v>385</v>
      </c>
      <c r="K133" s="18"/>
    </row>
    <row r="134" spans="1:11" ht="15" customHeight="1" x14ac:dyDescent="0.35">
      <c r="A134" s="50">
        <v>44</v>
      </c>
      <c r="B134" s="50" t="s">
        <v>386</v>
      </c>
      <c r="C134" s="51" t="s">
        <v>387</v>
      </c>
      <c r="D134" s="19" t="s">
        <v>388</v>
      </c>
      <c r="E134" s="2" t="s">
        <v>16</v>
      </c>
      <c r="F134" s="51" t="s">
        <v>17</v>
      </c>
      <c r="G134" s="50" t="s">
        <v>92</v>
      </c>
      <c r="H134" s="50" t="s">
        <v>55</v>
      </c>
      <c r="I134" s="52" t="s">
        <v>20</v>
      </c>
      <c r="J134" s="20" t="s">
        <v>389</v>
      </c>
      <c r="K134" s="10"/>
    </row>
    <row r="135" spans="1:11" x14ac:dyDescent="0.35">
      <c r="A135" s="50"/>
      <c r="B135" s="50"/>
      <c r="C135" s="50"/>
      <c r="D135" s="21" t="s">
        <v>390</v>
      </c>
      <c r="E135" s="22" t="s">
        <v>23</v>
      </c>
      <c r="F135" s="51"/>
      <c r="G135" s="51"/>
      <c r="H135" s="51"/>
      <c r="I135" s="51"/>
      <c r="J135" s="23" t="s">
        <v>391</v>
      </c>
      <c r="K135" s="14"/>
    </row>
    <row r="136" spans="1:11" x14ac:dyDescent="0.35">
      <c r="A136" s="50"/>
      <c r="B136" s="50"/>
      <c r="C136" s="50"/>
      <c r="D136" s="24" t="s">
        <v>392</v>
      </c>
      <c r="E136" s="25" t="s">
        <v>23</v>
      </c>
      <c r="F136" s="51"/>
      <c r="G136" s="51"/>
      <c r="H136" s="51"/>
      <c r="I136" s="51"/>
      <c r="J136" s="26" t="s">
        <v>393</v>
      </c>
      <c r="K136" s="18"/>
    </row>
    <row r="137" spans="1:11" ht="15" customHeight="1" x14ac:dyDescent="0.35">
      <c r="A137" s="47">
        <v>45</v>
      </c>
      <c r="B137" s="47" t="s">
        <v>394</v>
      </c>
      <c r="C137" s="48" t="s">
        <v>395</v>
      </c>
      <c r="D137" s="8" t="s">
        <v>396</v>
      </c>
      <c r="E137" s="4" t="s">
        <v>16</v>
      </c>
      <c r="F137" s="48" t="s">
        <v>371</v>
      </c>
      <c r="G137" s="47" t="s">
        <v>92</v>
      </c>
      <c r="H137" s="47" t="s">
        <v>31</v>
      </c>
      <c r="I137" s="49" t="s">
        <v>20</v>
      </c>
      <c r="J137" s="9" t="s">
        <v>397</v>
      </c>
      <c r="K137" s="10"/>
    </row>
    <row r="138" spans="1:11" x14ac:dyDescent="0.35">
      <c r="A138" s="47"/>
      <c r="B138" s="47"/>
      <c r="C138" s="47"/>
      <c r="D138" s="11" t="s">
        <v>398</v>
      </c>
      <c r="E138" s="12" t="s">
        <v>23</v>
      </c>
      <c r="F138" s="48"/>
      <c r="G138" s="48"/>
      <c r="H138" s="48"/>
      <c r="I138" s="48"/>
      <c r="J138" s="13" t="s">
        <v>399</v>
      </c>
      <c r="K138" s="14"/>
    </row>
    <row r="139" spans="1:11" x14ac:dyDescent="0.35">
      <c r="A139" s="47"/>
      <c r="B139" s="47"/>
      <c r="C139" s="47"/>
      <c r="D139" s="15" t="s">
        <v>400</v>
      </c>
      <c r="E139" s="16" t="s">
        <v>23</v>
      </c>
      <c r="F139" s="48"/>
      <c r="G139" s="48"/>
      <c r="H139" s="48"/>
      <c r="I139" s="48"/>
      <c r="J139" s="17" t="s">
        <v>401</v>
      </c>
      <c r="K139" s="18"/>
    </row>
    <row r="140" spans="1:11" ht="15" customHeight="1" x14ac:dyDescent="0.35">
      <c r="A140" s="50">
        <v>46</v>
      </c>
      <c r="B140" s="50" t="s">
        <v>402</v>
      </c>
      <c r="C140" s="51" t="s">
        <v>403</v>
      </c>
      <c r="D140" s="19" t="s">
        <v>404</v>
      </c>
      <c r="E140" s="2" t="s">
        <v>16</v>
      </c>
      <c r="F140" s="51" t="s">
        <v>17</v>
      </c>
      <c r="G140" s="50" t="s">
        <v>30</v>
      </c>
      <c r="H140" s="50" t="s">
        <v>31</v>
      </c>
      <c r="I140" s="52" t="s">
        <v>20</v>
      </c>
      <c r="J140" s="20" t="s">
        <v>405</v>
      </c>
      <c r="K140" s="10"/>
    </row>
    <row r="141" spans="1:11" x14ac:dyDescent="0.35">
      <c r="A141" s="50"/>
      <c r="B141" s="50"/>
      <c r="C141" s="50"/>
      <c r="D141" s="21" t="s">
        <v>406</v>
      </c>
      <c r="E141" s="22" t="s">
        <v>23</v>
      </c>
      <c r="F141" s="51"/>
      <c r="G141" s="51"/>
      <c r="H141" s="51"/>
      <c r="I141" s="51"/>
      <c r="J141" s="23" t="s">
        <v>407</v>
      </c>
      <c r="K141" s="14"/>
    </row>
    <row r="142" spans="1:11" x14ac:dyDescent="0.35">
      <c r="A142" s="50"/>
      <c r="B142" s="50"/>
      <c r="C142" s="50"/>
      <c r="D142" s="24" t="s">
        <v>408</v>
      </c>
      <c r="E142" s="25" t="s">
        <v>23</v>
      </c>
      <c r="F142" s="51"/>
      <c r="G142" s="51"/>
      <c r="H142" s="51"/>
      <c r="I142" s="51"/>
      <c r="J142" s="26" t="s">
        <v>409</v>
      </c>
      <c r="K142" s="18"/>
    </row>
    <row r="143" spans="1:11" ht="15" customHeight="1" x14ac:dyDescent="0.35">
      <c r="A143" s="47">
        <v>47</v>
      </c>
      <c r="B143" s="47" t="s">
        <v>410</v>
      </c>
      <c r="C143" s="48" t="s">
        <v>411</v>
      </c>
      <c r="D143" s="8" t="s">
        <v>412</v>
      </c>
      <c r="E143" s="4" t="s">
        <v>16</v>
      </c>
      <c r="F143" s="3" t="s">
        <v>17</v>
      </c>
      <c r="G143" s="4" t="s">
        <v>30</v>
      </c>
      <c r="H143" s="47" t="s">
        <v>31</v>
      </c>
      <c r="I143" s="49" t="s">
        <v>20</v>
      </c>
      <c r="J143" s="9" t="s">
        <v>413</v>
      </c>
      <c r="K143" s="10"/>
    </row>
    <row r="144" spans="1:11" x14ac:dyDescent="0.35">
      <c r="A144" s="47"/>
      <c r="B144" s="47"/>
      <c r="C144" s="47"/>
      <c r="D144" s="11" t="s">
        <v>414</v>
      </c>
      <c r="E144" s="12" t="s">
        <v>23</v>
      </c>
      <c r="F144" s="11" t="s">
        <v>17</v>
      </c>
      <c r="G144" s="12" t="s">
        <v>30</v>
      </c>
      <c r="H144" s="47"/>
      <c r="I144" s="47"/>
      <c r="J144" s="13" t="s">
        <v>415</v>
      </c>
      <c r="K144" s="14"/>
    </row>
    <row r="145" spans="1:11" ht="25" x14ac:dyDescent="0.35">
      <c r="A145" s="47"/>
      <c r="B145" s="47"/>
      <c r="C145" s="47"/>
      <c r="D145" s="15" t="s">
        <v>416</v>
      </c>
      <c r="E145" s="16" t="s">
        <v>23</v>
      </c>
      <c r="F145" s="15" t="s">
        <v>417</v>
      </c>
      <c r="G145" s="16" t="s">
        <v>92</v>
      </c>
      <c r="H145" s="47"/>
      <c r="I145" s="47"/>
      <c r="J145" s="17" t="s">
        <v>418</v>
      </c>
      <c r="K145" s="18"/>
    </row>
    <row r="146" spans="1:11" ht="15" customHeight="1" x14ac:dyDescent="0.35">
      <c r="A146" s="50">
        <v>48</v>
      </c>
      <c r="B146" s="50" t="s">
        <v>419</v>
      </c>
      <c r="C146" s="51" t="s">
        <v>420</v>
      </c>
      <c r="D146" s="19" t="s">
        <v>421</v>
      </c>
      <c r="E146" s="2" t="s">
        <v>16</v>
      </c>
      <c r="F146" s="51" t="s">
        <v>17</v>
      </c>
      <c r="G146" s="50" t="s">
        <v>92</v>
      </c>
      <c r="H146" s="50" t="s">
        <v>55</v>
      </c>
      <c r="I146" s="52" t="s">
        <v>20</v>
      </c>
      <c r="J146" s="20" t="s">
        <v>422</v>
      </c>
      <c r="K146" s="10"/>
    </row>
    <row r="147" spans="1:11" x14ac:dyDescent="0.35">
      <c r="A147" s="50"/>
      <c r="B147" s="50"/>
      <c r="C147" s="50"/>
      <c r="D147" s="21" t="s">
        <v>423</v>
      </c>
      <c r="E147" s="22" t="s">
        <v>23</v>
      </c>
      <c r="F147" s="51"/>
      <c r="G147" s="51"/>
      <c r="H147" s="51"/>
      <c r="I147" s="51"/>
      <c r="J147" s="23" t="s">
        <v>424</v>
      </c>
      <c r="K147" s="14"/>
    </row>
    <row r="148" spans="1:11" x14ac:dyDescent="0.35">
      <c r="A148" s="50"/>
      <c r="B148" s="50"/>
      <c r="C148" s="50"/>
      <c r="D148" s="24" t="s">
        <v>425</v>
      </c>
      <c r="E148" s="25" t="s">
        <v>23</v>
      </c>
      <c r="F148" s="51"/>
      <c r="G148" s="51"/>
      <c r="H148" s="51"/>
      <c r="I148" s="51"/>
      <c r="J148" s="26" t="s">
        <v>426</v>
      </c>
      <c r="K148" s="18"/>
    </row>
    <row r="149" spans="1:11" ht="15" customHeight="1" x14ac:dyDescent="0.35">
      <c r="A149" s="47">
        <v>49</v>
      </c>
      <c r="B149" s="47" t="s">
        <v>427</v>
      </c>
      <c r="C149" s="48" t="s">
        <v>428</v>
      </c>
      <c r="D149" s="8" t="s">
        <v>429</v>
      </c>
      <c r="E149" s="4" t="s">
        <v>16</v>
      </c>
      <c r="F149" s="48" t="s">
        <v>133</v>
      </c>
      <c r="G149" s="47" t="s">
        <v>92</v>
      </c>
      <c r="H149" s="47" t="s">
        <v>55</v>
      </c>
      <c r="I149" s="49" t="s">
        <v>20</v>
      </c>
      <c r="J149" s="9" t="s">
        <v>430</v>
      </c>
      <c r="K149" s="10"/>
    </row>
    <row r="150" spans="1:11" x14ac:dyDescent="0.35">
      <c r="A150" s="47"/>
      <c r="B150" s="47"/>
      <c r="C150" s="47"/>
      <c r="D150" s="11" t="s">
        <v>431</v>
      </c>
      <c r="E150" s="12" t="s">
        <v>23</v>
      </c>
      <c r="F150" s="48"/>
      <c r="G150" s="48"/>
      <c r="H150" s="48"/>
      <c r="I150" s="48"/>
      <c r="J150" s="13" t="s">
        <v>432</v>
      </c>
      <c r="K150" s="14"/>
    </row>
    <row r="151" spans="1:11" x14ac:dyDescent="0.35">
      <c r="A151" s="47"/>
      <c r="B151" s="47"/>
      <c r="C151" s="47"/>
      <c r="D151" s="15" t="s">
        <v>433</v>
      </c>
      <c r="E151" s="16" t="s">
        <v>23</v>
      </c>
      <c r="F151" s="48"/>
      <c r="G151" s="48"/>
      <c r="H151" s="48"/>
      <c r="I151" s="48"/>
      <c r="J151" s="17" t="s">
        <v>434</v>
      </c>
      <c r="K151" s="18"/>
    </row>
    <row r="152" spans="1:11" ht="15" customHeight="1" x14ac:dyDescent="0.35">
      <c r="A152" s="50">
        <v>50</v>
      </c>
      <c r="B152" s="50" t="s">
        <v>435</v>
      </c>
      <c r="C152" s="51" t="s">
        <v>436</v>
      </c>
      <c r="D152" s="19" t="s">
        <v>437</v>
      </c>
      <c r="E152" s="2" t="s">
        <v>16</v>
      </c>
      <c r="F152" s="51" t="s">
        <v>438</v>
      </c>
      <c r="G152" s="50" t="s">
        <v>92</v>
      </c>
      <c r="H152" s="50" t="s">
        <v>19</v>
      </c>
      <c r="I152" s="52" t="s">
        <v>20</v>
      </c>
      <c r="J152" s="20" t="s">
        <v>439</v>
      </c>
      <c r="K152" s="10"/>
    </row>
    <row r="153" spans="1:11" x14ac:dyDescent="0.35">
      <c r="A153" s="50"/>
      <c r="B153" s="50"/>
      <c r="C153" s="50"/>
      <c r="D153" s="21" t="s">
        <v>440</v>
      </c>
      <c r="E153" s="22" t="s">
        <v>23</v>
      </c>
      <c r="F153" s="51"/>
      <c r="G153" s="51"/>
      <c r="H153" s="51"/>
      <c r="I153" s="51"/>
      <c r="J153" s="23" t="s">
        <v>441</v>
      </c>
      <c r="K153" s="14"/>
    </row>
    <row r="154" spans="1:11" x14ac:dyDescent="0.35">
      <c r="A154" s="50"/>
      <c r="B154" s="50"/>
      <c r="C154" s="50"/>
      <c r="D154" s="24" t="s">
        <v>442</v>
      </c>
      <c r="E154" s="25" t="s">
        <v>23</v>
      </c>
      <c r="F154" s="51"/>
      <c r="G154" s="51"/>
      <c r="H154" s="51"/>
      <c r="I154" s="51"/>
      <c r="J154" s="26" t="s">
        <v>443</v>
      </c>
      <c r="K154" s="18"/>
    </row>
    <row r="155" spans="1:11" ht="15" customHeight="1" x14ac:dyDescent="0.35">
      <c r="A155" s="47">
        <v>51</v>
      </c>
      <c r="B155" s="47" t="s">
        <v>444</v>
      </c>
      <c r="C155" s="48" t="s">
        <v>445</v>
      </c>
      <c r="D155" s="8" t="s">
        <v>446</v>
      </c>
      <c r="E155" s="4" t="s">
        <v>16</v>
      </c>
      <c r="F155" s="48" t="s">
        <v>17</v>
      </c>
      <c r="G155" s="47" t="s">
        <v>42</v>
      </c>
      <c r="H155" s="47" t="s">
        <v>31</v>
      </c>
      <c r="I155" s="49" t="s">
        <v>20</v>
      </c>
      <c r="J155" s="9" t="s">
        <v>447</v>
      </c>
      <c r="K155" s="10"/>
    </row>
    <row r="156" spans="1:11" x14ac:dyDescent="0.35">
      <c r="A156" s="47"/>
      <c r="B156" s="47"/>
      <c r="C156" s="47"/>
      <c r="D156" s="11" t="s">
        <v>448</v>
      </c>
      <c r="E156" s="12" t="s">
        <v>23</v>
      </c>
      <c r="F156" s="48"/>
      <c r="G156" s="48"/>
      <c r="H156" s="48"/>
      <c r="I156" s="48"/>
      <c r="J156" s="13" t="s">
        <v>449</v>
      </c>
      <c r="K156" s="14"/>
    </row>
    <row r="157" spans="1:11" x14ac:dyDescent="0.35">
      <c r="A157" s="47"/>
      <c r="B157" s="47"/>
      <c r="C157" s="47"/>
      <c r="D157" s="15" t="s">
        <v>450</v>
      </c>
      <c r="E157" s="16" t="s">
        <v>23</v>
      </c>
      <c r="F157" s="48"/>
      <c r="G157" s="48"/>
      <c r="H157" s="48"/>
      <c r="I157" s="48"/>
      <c r="J157" s="17" t="s">
        <v>451</v>
      </c>
      <c r="K157" s="18"/>
    </row>
    <row r="158" spans="1:11" ht="15" customHeight="1" x14ac:dyDescent="0.35">
      <c r="A158" s="50">
        <v>52</v>
      </c>
      <c r="B158" s="50" t="s">
        <v>452</v>
      </c>
      <c r="C158" s="51" t="s">
        <v>453</v>
      </c>
      <c r="D158" s="19" t="s">
        <v>454</v>
      </c>
      <c r="E158" s="2" t="s">
        <v>16</v>
      </c>
      <c r="F158" s="51" t="s">
        <v>17</v>
      </c>
      <c r="G158" s="2" t="s">
        <v>92</v>
      </c>
      <c r="H158" s="50" t="s">
        <v>31</v>
      </c>
      <c r="I158" s="52" t="s">
        <v>20</v>
      </c>
      <c r="J158" s="20" t="s">
        <v>455</v>
      </c>
      <c r="K158" s="10"/>
    </row>
    <row r="159" spans="1:11" x14ac:dyDescent="0.35">
      <c r="A159" s="50"/>
      <c r="B159" s="50"/>
      <c r="C159" s="50"/>
      <c r="D159" s="21" t="s">
        <v>456</v>
      </c>
      <c r="E159" s="22" t="s">
        <v>23</v>
      </c>
      <c r="F159" s="51"/>
      <c r="G159" s="22" t="s">
        <v>92</v>
      </c>
      <c r="H159" s="50"/>
      <c r="I159" s="50"/>
      <c r="J159" s="23" t="s">
        <v>457</v>
      </c>
      <c r="K159" s="14"/>
    </row>
    <row r="160" spans="1:11" x14ac:dyDescent="0.35">
      <c r="A160" s="50"/>
      <c r="B160" s="50"/>
      <c r="C160" s="50"/>
      <c r="D160" s="24" t="s">
        <v>458</v>
      </c>
      <c r="E160" s="25" t="s">
        <v>23</v>
      </c>
      <c r="F160" s="51"/>
      <c r="G160" s="25" t="s">
        <v>42</v>
      </c>
      <c r="H160" s="50"/>
      <c r="I160" s="50"/>
      <c r="J160" s="26" t="s">
        <v>459</v>
      </c>
      <c r="K160" s="18"/>
    </row>
    <row r="161" spans="1:11" ht="15" customHeight="1" x14ac:dyDescent="0.35">
      <c r="A161" s="47">
        <v>53</v>
      </c>
      <c r="B161" s="47" t="s">
        <v>460</v>
      </c>
      <c r="C161" s="48" t="s">
        <v>461</v>
      </c>
      <c r="D161" s="8" t="s">
        <v>462</v>
      </c>
      <c r="E161" s="4" t="s">
        <v>16</v>
      </c>
      <c r="F161" s="48" t="s">
        <v>17</v>
      </c>
      <c r="G161" s="47" t="s">
        <v>18</v>
      </c>
      <c r="H161" s="47" t="s">
        <v>19</v>
      </c>
      <c r="I161" s="49" t="s">
        <v>20</v>
      </c>
      <c r="J161" s="9" t="s">
        <v>463</v>
      </c>
      <c r="K161" s="10"/>
    </row>
    <row r="162" spans="1:11" x14ac:dyDescent="0.35">
      <c r="A162" s="47"/>
      <c r="B162" s="47"/>
      <c r="C162" s="47"/>
      <c r="D162" s="11" t="s">
        <v>464</v>
      </c>
      <c r="E162" s="12" t="s">
        <v>23</v>
      </c>
      <c r="F162" s="48"/>
      <c r="G162" s="48"/>
      <c r="H162" s="48"/>
      <c r="I162" s="48"/>
      <c r="J162" s="13" t="s">
        <v>465</v>
      </c>
      <c r="K162" s="14"/>
    </row>
    <row r="163" spans="1:11" x14ac:dyDescent="0.35">
      <c r="A163" s="47"/>
      <c r="B163" s="47"/>
      <c r="C163" s="47"/>
      <c r="D163" s="15" t="s">
        <v>466</v>
      </c>
      <c r="E163" s="16" t="s">
        <v>23</v>
      </c>
      <c r="F163" s="48"/>
      <c r="G163" s="48"/>
      <c r="H163" s="48"/>
      <c r="I163" s="48"/>
      <c r="J163" s="17" t="s">
        <v>467</v>
      </c>
      <c r="K163" s="18"/>
    </row>
    <row r="164" spans="1:11" ht="15" customHeight="1" x14ac:dyDescent="0.35">
      <c r="A164" s="50">
        <v>54</v>
      </c>
      <c r="B164" s="50" t="s">
        <v>468</v>
      </c>
      <c r="C164" s="51" t="s">
        <v>469</v>
      </c>
      <c r="D164" s="19" t="s">
        <v>470</v>
      </c>
      <c r="E164" s="2" t="s">
        <v>16</v>
      </c>
      <c r="F164" s="51" t="s">
        <v>17</v>
      </c>
      <c r="G164" s="2" t="s">
        <v>92</v>
      </c>
      <c r="H164" s="50" t="s">
        <v>55</v>
      </c>
      <c r="I164" s="52" t="s">
        <v>20</v>
      </c>
      <c r="J164" s="20" t="s">
        <v>471</v>
      </c>
      <c r="K164" s="10"/>
    </row>
    <row r="165" spans="1:11" x14ac:dyDescent="0.35">
      <c r="A165" s="50"/>
      <c r="B165" s="50"/>
      <c r="C165" s="50"/>
      <c r="D165" s="21" t="s">
        <v>472</v>
      </c>
      <c r="E165" s="22" t="s">
        <v>23</v>
      </c>
      <c r="F165" s="51"/>
      <c r="G165" s="22" t="s">
        <v>18</v>
      </c>
      <c r="H165" s="50"/>
      <c r="I165" s="50"/>
      <c r="J165" s="23" t="s">
        <v>473</v>
      </c>
      <c r="K165" s="14"/>
    </row>
    <row r="166" spans="1:11" x14ac:dyDescent="0.35">
      <c r="A166" s="50"/>
      <c r="B166" s="50"/>
      <c r="C166" s="50"/>
      <c r="D166" s="24" t="s">
        <v>474</v>
      </c>
      <c r="E166" s="25" t="s">
        <v>23</v>
      </c>
      <c r="F166" s="51"/>
      <c r="G166" s="25" t="s">
        <v>92</v>
      </c>
      <c r="H166" s="50"/>
      <c r="I166" s="50"/>
      <c r="J166" s="26" t="s">
        <v>475</v>
      </c>
      <c r="K166" s="18"/>
    </row>
    <row r="167" spans="1:11" ht="15" customHeight="1" x14ac:dyDescent="0.35">
      <c r="A167" s="47">
        <v>55</v>
      </c>
      <c r="B167" s="47" t="s">
        <v>476</v>
      </c>
      <c r="C167" s="48" t="s">
        <v>477</v>
      </c>
      <c r="D167" s="8" t="s">
        <v>478</v>
      </c>
      <c r="E167" s="4" t="s">
        <v>16</v>
      </c>
      <c r="F167" s="48" t="s">
        <v>17</v>
      </c>
      <c r="G167" s="47" t="s">
        <v>92</v>
      </c>
      <c r="H167" s="47" t="s">
        <v>55</v>
      </c>
      <c r="I167" s="49" t="s">
        <v>20</v>
      </c>
      <c r="J167" s="9" t="s">
        <v>479</v>
      </c>
      <c r="K167" s="10"/>
    </row>
    <row r="168" spans="1:11" x14ac:dyDescent="0.35">
      <c r="A168" s="47"/>
      <c r="B168" s="47"/>
      <c r="C168" s="47"/>
      <c r="D168" s="11" t="s">
        <v>480</v>
      </c>
      <c r="E168" s="12" t="s">
        <v>23</v>
      </c>
      <c r="F168" s="48"/>
      <c r="G168" s="48"/>
      <c r="H168" s="48"/>
      <c r="I168" s="48"/>
      <c r="J168" s="13" t="s">
        <v>481</v>
      </c>
      <c r="K168" s="14"/>
    </row>
    <row r="169" spans="1:11" x14ac:dyDescent="0.35">
      <c r="A169" s="47"/>
      <c r="B169" s="47"/>
      <c r="C169" s="47"/>
      <c r="D169" s="15" t="s">
        <v>482</v>
      </c>
      <c r="E169" s="16" t="s">
        <v>23</v>
      </c>
      <c r="F169" s="48"/>
      <c r="G169" s="48"/>
      <c r="H169" s="48"/>
      <c r="I169" s="48"/>
      <c r="J169" s="17" t="s">
        <v>483</v>
      </c>
      <c r="K169" s="18"/>
    </row>
    <row r="170" spans="1:11" ht="15" customHeight="1" x14ac:dyDescent="0.35">
      <c r="A170" s="50">
        <v>56</v>
      </c>
      <c r="B170" s="50" t="s">
        <v>484</v>
      </c>
      <c r="C170" s="51" t="s">
        <v>485</v>
      </c>
      <c r="D170" s="19" t="s">
        <v>486</v>
      </c>
      <c r="E170" s="2" t="s">
        <v>16</v>
      </c>
      <c r="F170" s="51" t="s">
        <v>284</v>
      </c>
      <c r="G170" s="50" t="s">
        <v>92</v>
      </c>
      <c r="H170" s="50" t="s">
        <v>31</v>
      </c>
      <c r="I170" s="52" t="s">
        <v>20</v>
      </c>
      <c r="J170" s="20" t="s">
        <v>487</v>
      </c>
      <c r="K170" s="10"/>
    </row>
    <row r="171" spans="1:11" x14ac:dyDescent="0.35">
      <c r="A171" s="50"/>
      <c r="B171" s="50"/>
      <c r="C171" s="50"/>
      <c r="D171" s="21" t="s">
        <v>488</v>
      </c>
      <c r="E171" s="22" t="s">
        <v>23</v>
      </c>
      <c r="F171" s="51"/>
      <c r="G171" s="51"/>
      <c r="H171" s="51"/>
      <c r="I171" s="51"/>
      <c r="J171" s="23" t="s">
        <v>489</v>
      </c>
      <c r="K171" s="14"/>
    </row>
    <row r="172" spans="1:11" x14ac:dyDescent="0.35">
      <c r="A172" s="50"/>
      <c r="B172" s="50"/>
      <c r="C172" s="50"/>
      <c r="D172" s="24" t="s">
        <v>490</v>
      </c>
      <c r="E172" s="25" t="s">
        <v>23</v>
      </c>
      <c r="F172" s="51"/>
      <c r="G172" s="51"/>
      <c r="H172" s="51"/>
      <c r="I172" s="51"/>
      <c r="J172" s="26" t="s">
        <v>491</v>
      </c>
      <c r="K172" s="18"/>
    </row>
    <row r="173" spans="1:11" ht="23.9" customHeight="1" x14ac:dyDescent="0.35">
      <c r="A173" s="47">
        <v>57</v>
      </c>
      <c r="B173" s="47" t="s">
        <v>492</v>
      </c>
      <c r="C173" s="48" t="s">
        <v>493</v>
      </c>
      <c r="D173" s="8" t="s">
        <v>494</v>
      </c>
      <c r="E173" s="4" t="s">
        <v>16</v>
      </c>
      <c r="F173" s="3" t="s">
        <v>234</v>
      </c>
      <c r="G173" s="47" t="s">
        <v>42</v>
      </c>
      <c r="H173" s="4" t="s">
        <v>55</v>
      </c>
      <c r="I173" s="49" t="s">
        <v>20</v>
      </c>
      <c r="J173" s="9" t="s">
        <v>495</v>
      </c>
      <c r="K173" s="10"/>
    </row>
    <row r="174" spans="1:11" x14ac:dyDescent="0.35">
      <c r="A174" s="47"/>
      <c r="B174" s="47"/>
      <c r="C174" s="47"/>
      <c r="D174" s="11" t="s">
        <v>496</v>
      </c>
      <c r="E174" s="12" t="s">
        <v>23</v>
      </c>
      <c r="F174" s="11" t="s">
        <v>497</v>
      </c>
      <c r="G174" s="47"/>
      <c r="H174" s="12" t="s">
        <v>31</v>
      </c>
      <c r="I174" s="49"/>
      <c r="J174" s="13" t="s">
        <v>498</v>
      </c>
      <c r="K174" s="14"/>
    </row>
    <row r="175" spans="1:11" ht="25" x14ac:dyDescent="0.35">
      <c r="A175" s="47"/>
      <c r="B175" s="47"/>
      <c r="C175" s="47"/>
      <c r="D175" s="15" t="s">
        <v>499</v>
      </c>
      <c r="E175" s="16" t="s">
        <v>23</v>
      </c>
      <c r="F175" s="15" t="s">
        <v>234</v>
      </c>
      <c r="G175" s="47"/>
      <c r="H175" s="16" t="s">
        <v>55</v>
      </c>
      <c r="I175" s="49"/>
      <c r="J175" s="17" t="s">
        <v>500</v>
      </c>
      <c r="K175" s="18"/>
    </row>
    <row r="176" spans="1:11" ht="15" customHeight="1" x14ac:dyDescent="0.35">
      <c r="A176" s="50">
        <v>58</v>
      </c>
      <c r="B176" s="50" t="s">
        <v>501</v>
      </c>
      <c r="C176" s="51" t="s">
        <v>502</v>
      </c>
      <c r="D176" s="19" t="s">
        <v>503</v>
      </c>
      <c r="E176" s="2" t="s">
        <v>16</v>
      </c>
      <c r="F176" s="51" t="s">
        <v>17</v>
      </c>
      <c r="G176" s="50" t="s">
        <v>92</v>
      </c>
      <c r="H176" s="50" t="s">
        <v>55</v>
      </c>
      <c r="I176" s="52" t="s">
        <v>20</v>
      </c>
      <c r="J176" s="20" t="s">
        <v>504</v>
      </c>
      <c r="K176" s="10"/>
    </row>
    <row r="177" spans="1:11" x14ac:dyDescent="0.35">
      <c r="A177" s="50"/>
      <c r="B177" s="50"/>
      <c r="C177" s="50"/>
      <c r="D177" s="21" t="s">
        <v>505</v>
      </c>
      <c r="E177" s="22" t="s">
        <v>23</v>
      </c>
      <c r="F177" s="51"/>
      <c r="G177" s="51"/>
      <c r="H177" s="51"/>
      <c r="I177" s="51"/>
      <c r="J177" s="23" t="s">
        <v>506</v>
      </c>
      <c r="K177" s="14"/>
    </row>
    <row r="178" spans="1:11" x14ac:dyDescent="0.35">
      <c r="A178" s="50"/>
      <c r="B178" s="50"/>
      <c r="C178" s="50"/>
      <c r="D178" s="24" t="s">
        <v>507</v>
      </c>
      <c r="E178" s="25" t="s">
        <v>23</v>
      </c>
      <c r="F178" s="51"/>
      <c r="G178" s="51"/>
      <c r="H178" s="51"/>
      <c r="I178" s="51"/>
      <c r="J178" s="26" t="s">
        <v>508</v>
      </c>
      <c r="K178" s="18"/>
    </row>
    <row r="179" spans="1:11" ht="15" customHeight="1" x14ac:dyDescent="0.35">
      <c r="A179" s="47">
        <v>59</v>
      </c>
      <c r="B179" s="47" t="s">
        <v>509</v>
      </c>
      <c r="C179" s="48" t="s">
        <v>510</v>
      </c>
      <c r="D179" s="8" t="s">
        <v>511</v>
      </c>
      <c r="E179" s="4" t="s">
        <v>16</v>
      </c>
      <c r="F179" s="48" t="s">
        <v>512</v>
      </c>
      <c r="G179" s="4" t="s">
        <v>92</v>
      </c>
      <c r="H179" s="47" t="s">
        <v>55</v>
      </c>
      <c r="I179" s="49" t="s">
        <v>20</v>
      </c>
      <c r="J179" s="9" t="s">
        <v>513</v>
      </c>
      <c r="K179" s="10"/>
    </row>
    <row r="180" spans="1:11" x14ac:dyDescent="0.35">
      <c r="A180" s="47"/>
      <c r="B180" s="47"/>
      <c r="C180" s="47"/>
      <c r="D180" s="11" t="s">
        <v>514</v>
      </c>
      <c r="E180" s="12" t="s">
        <v>23</v>
      </c>
      <c r="F180" s="48"/>
      <c r="G180" s="12" t="s">
        <v>92</v>
      </c>
      <c r="H180" s="47"/>
      <c r="I180" s="47"/>
      <c r="J180" s="13" t="s">
        <v>515</v>
      </c>
      <c r="K180" s="14"/>
    </row>
    <row r="181" spans="1:11" x14ac:dyDescent="0.35">
      <c r="A181" s="47"/>
      <c r="B181" s="47"/>
      <c r="C181" s="47"/>
      <c r="D181" s="15" t="s">
        <v>516</v>
      </c>
      <c r="E181" s="16" t="s">
        <v>23</v>
      </c>
      <c r="F181" s="48"/>
      <c r="G181" s="16" t="s">
        <v>300</v>
      </c>
      <c r="H181" s="47"/>
      <c r="I181" s="47"/>
      <c r="J181" s="17" t="s">
        <v>517</v>
      </c>
      <c r="K181" s="18"/>
    </row>
    <row r="182" spans="1:11" ht="15" customHeight="1" x14ac:dyDescent="0.35">
      <c r="A182" s="50">
        <v>60</v>
      </c>
      <c r="B182" s="50" t="s">
        <v>518</v>
      </c>
      <c r="C182" s="51" t="s">
        <v>519</v>
      </c>
      <c r="D182" s="19" t="s">
        <v>520</v>
      </c>
      <c r="E182" s="2" t="s">
        <v>16</v>
      </c>
      <c r="F182" s="51" t="s">
        <v>167</v>
      </c>
      <c r="G182" s="50" t="s">
        <v>92</v>
      </c>
      <c r="H182" s="50" t="s">
        <v>55</v>
      </c>
      <c r="I182" s="52" t="s">
        <v>20</v>
      </c>
      <c r="J182" s="20" t="s">
        <v>521</v>
      </c>
      <c r="K182" s="10"/>
    </row>
    <row r="183" spans="1:11" x14ac:dyDescent="0.35">
      <c r="A183" s="50"/>
      <c r="B183" s="50"/>
      <c r="C183" s="50"/>
      <c r="D183" s="21" t="s">
        <v>522</v>
      </c>
      <c r="E183" s="22" t="s">
        <v>23</v>
      </c>
      <c r="F183" s="51"/>
      <c r="G183" s="51"/>
      <c r="H183" s="51"/>
      <c r="I183" s="51"/>
      <c r="J183" s="23" t="s">
        <v>523</v>
      </c>
      <c r="K183" s="14"/>
    </row>
    <row r="184" spans="1:11" x14ac:dyDescent="0.35">
      <c r="A184" s="50"/>
      <c r="B184" s="50"/>
      <c r="C184" s="50"/>
      <c r="D184" s="24" t="s">
        <v>524</v>
      </c>
      <c r="E184" s="25" t="s">
        <v>23</v>
      </c>
      <c r="F184" s="51"/>
      <c r="G184" s="51"/>
      <c r="H184" s="51"/>
      <c r="I184" s="51"/>
      <c r="J184" s="26" t="s">
        <v>525</v>
      </c>
      <c r="K184" s="18"/>
    </row>
    <row r="185" spans="1:11" ht="15" customHeight="1" x14ac:dyDescent="0.35">
      <c r="A185" s="47">
        <v>61</v>
      </c>
      <c r="B185" s="47" t="s">
        <v>526</v>
      </c>
      <c r="C185" s="48" t="s">
        <v>527</v>
      </c>
      <c r="D185" s="8" t="s">
        <v>528</v>
      </c>
      <c r="E185" s="4" t="s">
        <v>16</v>
      </c>
      <c r="F185" s="48" t="s">
        <v>167</v>
      </c>
      <c r="G185" s="47" t="s">
        <v>30</v>
      </c>
      <c r="H185" s="47" t="s">
        <v>31</v>
      </c>
      <c r="I185" s="49" t="s">
        <v>20</v>
      </c>
      <c r="J185" s="9" t="s">
        <v>529</v>
      </c>
      <c r="K185" s="10"/>
    </row>
    <row r="186" spans="1:11" x14ac:dyDescent="0.35">
      <c r="A186" s="47"/>
      <c r="B186" s="47"/>
      <c r="C186" s="47"/>
      <c r="D186" s="11" t="s">
        <v>530</v>
      </c>
      <c r="E186" s="12" t="s">
        <v>23</v>
      </c>
      <c r="F186" s="48"/>
      <c r="G186" s="48"/>
      <c r="H186" s="48"/>
      <c r="I186" s="48"/>
      <c r="J186" s="13" t="s">
        <v>531</v>
      </c>
      <c r="K186" s="14"/>
    </row>
    <row r="187" spans="1:11" x14ac:dyDescent="0.35">
      <c r="A187" s="47"/>
      <c r="B187" s="47"/>
      <c r="C187" s="47"/>
      <c r="D187" s="15" t="s">
        <v>532</v>
      </c>
      <c r="E187" s="16" t="s">
        <v>23</v>
      </c>
      <c r="F187" s="48"/>
      <c r="G187" s="48"/>
      <c r="H187" s="48"/>
      <c r="I187" s="48"/>
      <c r="J187" s="17" t="s">
        <v>533</v>
      </c>
      <c r="K187" s="18"/>
    </row>
    <row r="188" spans="1:11" ht="15" customHeight="1" x14ac:dyDescent="0.35">
      <c r="A188" s="50">
        <v>62</v>
      </c>
      <c r="B188" s="50" t="s">
        <v>534</v>
      </c>
      <c r="C188" s="51" t="s">
        <v>535</v>
      </c>
      <c r="D188" s="19" t="s">
        <v>536</v>
      </c>
      <c r="E188" s="2" t="s">
        <v>16</v>
      </c>
      <c r="F188" s="51" t="s">
        <v>17</v>
      </c>
      <c r="G188" s="50" t="s">
        <v>92</v>
      </c>
      <c r="H188" s="50" t="s">
        <v>31</v>
      </c>
      <c r="I188" s="52" t="s">
        <v>20</v>
      </c>
      <c r="J188" s="20" t="s">
        <v>537</v>
      </c>
      <c r="K188" s="10"/>
    </row>
    <row r="189" spans="1:11" x14ac:dyDescent="0.35">
      <c r="A189" s="50"/>
      <c r="B189" s="50"/>
      <c r="C189" s="50"/>
      <c r="D189" s="21" t="s">
        <v>538</v>
      </c>
      <c r="E189" s="22" t="s">
        <v>23</v>
      </c>
      <c r="F189" s="51"/>
      <c r="G189" s="51"/>
      <c r="H189" s="51"/>
      <c r="I189" s="51"/>
      <c r="J189" s="23" t="s">
        <v>539</v>
      </c>
      <c r="K189" s="14"/>
    </row>
    <row r="190" spans="1:11" x14ac:dyDescent="0.35">
      <c r="A190" s="50"/>
      <c r="B190" s="50"/>
      <c r="C190" s="50"/>
      <c r="D190" s="24" t="s">
        <v>540</v>
      </c>
      <c r="E190" s="25" t="s">
        <v>23</v>
      </c>
      <c r="F190" s="51"/>
      <c r="G190" s="51"/>
      <c r="H190" s="51"/>
      <c r="I190" s="51"/>
      <c r="J190" s="26" t="s">
        <v>541</v>
      </c>
      <c r="K190" s="18"/>
    </row>
    <row r="191" spans="1:11" ht="15" customHeight="1" x14ac:dyDescent="0.35">
      <c r="A191" s="47">
        <v>63</v>
      </c>
      <c r="B191" s="47" t="s">
        <v>542</v>
      </c>
      <c r="C191" s="48" t="s">
        <v>543</v>
      </c>
      <c r="D191" s="8" t="s">
        <v>544</v>
      </c>
      <c r="E191" s="4" t="s">
        <v>16</v>
      </c>
      <c r="F191" s="48" t="s">
        <v>17</v>
      </c>
      <c r="G191" s="47" t="s">
        <v>42</v>
      </c>
      <c r="H191" s="47" t="s">
        <v>31</v>
      </c>
      <c r="I191" s="49" t="s">
        <v>20</v>
      </c>
      <c r="J191" s="9" t="s">
        <v>545</v>
      </c>
      <c r="K191" s="10"/>
    </row>
    <row r="192" spans="1:11" x14ac:dyDescent="0.35">
      <c r="A192" s="47"/>
      <c r="B192" s="47"/>
      <c r="C192" s="47"/>
      <c r="D192" s="11" t="s">
        <v>546</v>
      </c>
      <c r="E192" s="12" t="s">
        <v>23</v>
      </c>
      <c r="F192" s="48"/>
      <c r="G192" s="48"/>
      <c r="H192" s="48"/>
      <c r="I192" s="48"/>
      <c r="J192" s="13" t="s">
        <v>547</v>
      </c>
      <c r="K192" s="14"/>
    </row>
    <row r="193" spans="1:11" x14ac:dyDescent="0.35">
      <c r="A193" s="47"/>
      <c r="B193" s="47"/>
      <c r="C193" s="47"/>
      <c r="D193" s="15" t="s">
        <v>548</v>
      </c>
      <c r="E193" s="16" t="s">
        <v>23</v>
      </c>
      <c r="F193" s="48"/>
      <c r="G193" s="48"/>
      <c r="H193" s="48"/>
      <c r="I193" s="48"/>
      <c r="J193" s="17" t="s">
        <v>549</v>
      </c>
      <c r="K193" s="18"/>
    </row>
    <row r="194" spans="1:11" ht="15" customHeight="1" x14ac:dyDescent="0.35">
      <c r="A194" s="50">
        <v>64</v>
      </c>
      <c r="B194" s="50" t="s">
        <v>550</v>
      </c>
      <c r="C194" s="51" t="s">
        <v>551</v>
      </c>
      <c r="D194" s="19" t="s">
        <v>552</v>
      </c>
      <c r="E194" s="2" t="s">
        <v>16</v>
      </c>
      <c r="F194" s="51" t="s">
        <v>553</v>
      </c>
      <c r="G194" s="50" t="s">
        <v>92</v>
      </c>
      <c r="H194" s="50" t="s">
        <v>31</v>
      </c>
      <c r="I194" s="52" t="s">
        <v>20</v>
      </c>
      <c r="J194" s="20" t="s">
        <v>554</v>
      </c>
      <c r="K194" s="10"/>
    </row>
    <row r="195" spans="1:11" x14ac:dyDescent="0.35">
      <c r="A195" s="50"/>
      <c r="B195" s="50"/>
      <c r="C195" s="50"/>
      <c r="D195" s="21" t="s">
        <v>555</v>
      </c>
      <c r="E195" s="22" t="s">
        <v>23</v>
      </c>
      <c r="F195" s="51"/>
      <c r="G195" s="51"/>
      <c r="H195" s="51"/>
      <c r="I195" s="51"/>
      <c r="J195" s="23" t="s">
        <v>556</v>
      </c>
      <c r="K195" s="14"/>
    </row>
    <row r="196" spans="1:11" x14ac:dyDescent="0.35">
      <c r="A196" s="50"/>
      <c r="B196" s="50"/>
      <c r="C196" s="50"/>
      <c r="D196" s="24" t="s">
        <v>557</v>
      </c>
      <c r="E196" s="25" t="s">
        <v>23</v>
      </c>
      <c r="F196" s="51"/>
      <c r="G196" s="51"/>
      <c r="H196" s="51"/>
      <c r="I196" s="51"/>
      <c r="J196" s="26" t="s">
        <v>558</v>
      </c>
      <c r="K196" s="18"/>
    </row>
    <row r="197" spans="1:11" ht="15" customHeight="1" x14ac:dyDescent="0.35">
      <c r="A197" s="47">
        <v>65</v>
      </c>
      <c r="B197" s="47" t="s">
        <v>559</v>
      </c>
      <c r="C197" s="48" t="s">
        <v>560</v>
      </c>
      <c r="D197" s="8" t="s">
        <v>561</v>
      </c>
      <c r="E197" s="4" t="s">
        <v>16</v>
      </c>
      <c r="F197" s="48" t="s">
        <v>17</v>
      </c>
      <c r="G197" s="47" t="s">
        <v>92</v>
      </c>
      <c r="H197" s="47" t="s">
        <v>31</v>
      </c>
      <c r="I197" s="49" t="s">
        <v>20</v>
      </c>
      <c r="J197" s="9" t="s">
        <v>562</v>
      </c>
      <c r="K197" s="10"/>
    </row>
    <row r="198" spans="1:11" x14ac:dyDescent="0.35">
      <c r="A198" s="47"/>
      <c r="B198" s="47"/>
      <c r="C198" s="47"/>
      <c r="D198" s="11" t="s">
        <v>563</v>
      </c>
      <c r="E198" s="12" t="s">
        <v>23</v>
      </c>
      <c r="F198" s="48"/>
      <c r="G198" s="48"/>
      <c r="H198" s="48"/>
      <c r="I198" s="48"/>
      <c r="J198" s="13" t="s">
        <v>564</v>
      </c>
      <c r="K198" s="14"/>
    </row>
    <row r="199" spans="1:11" x14ac:dyDescent="0.35">
      <c r="A199" s="47"/>
      <c r="B199" s="47"/>
      <c r="C199" s="47"/>
      <c r="D199" s="15" t="s">
        <v>565</v>
      </c>
      <c r="E199" s="16" t="s">
        <v>23</v>
      </c>
      <c r="F199" s="48"/>
      <c r="G199" s="48"/>
      <c r="H199" s="48"/>
      <c r="I199" s="48"/>
      <c r="J199" s="17" t="s">
        <v>566</v>
      </c>
      <c r="K199" s="18"/>
    </row>
    <row r="200" spans="1:11" ht="15" customHeight="1" x14ac:dyDescent="0.35">
      <c r="A200" s="50">
        <v>66</v>
      </c>
      <c r="B200" s="50" t="s">
        <v>567</v>
      </c>
      <c r="C200" s="51" t="s">
        <v>560</v>
      </c>
      <c r="D200" s="19" t="s">
        <v>568</v>
      </c>
      <c r="E200" s="2" t="s">
        <v>16</v>
      </c>
      <c r="F200" s="51" t="s">
        <v>17</v>
      </c>
      <c r="G200" s="50" t="s">
        <v>42</v>
      </c>
      <c r="H200" s="50" t="s">
        <v>31</v>
      </c>
      <c r="I200" s="52" t="s">
        <v>20</v>
      </c>
      <c r="J200" s="20" t="s">
        <v>569</v>
      </c>
      <c r="K200" s="10"/>
    </row>
    <row r="201" spans="1:11" x14ac:dyDescent="0.35">
      <c r="A201" s="50"/>
      <c r="B201" s="50"/>
      <c r="C201" s="50"/>
      <c r="D201" s="21" t="s">
        <v>570</v>
      </c>
      <c r="E201" s="22" t="s">
        <v>23</v>
      </c>
      <c r="F201" s="51"/>
      <c r="G201" s="51"/>
      <c r="H201" s="51"/>
      <c r="I201" s="51"/>
      <c r="J201" s="23" t="s">
        <v>571</v>
      </c>
      <c r="K201" s="14"/>
    </row>
    <row r="202" spans="1:11" x14ac:dyDescent="0.35">
      <c r="A202" s="50"/>
      <c r="B202" s="50"/>
      <c r="C202" s="50"/>
      <c r="D202" s="24" t="s">
        <v>572</v>
      </c>
      <c r="E202" s="25" t="s">
        <v>23</v>
      </c>
      <c r="F202" s="51"/>
      <c r="G202" s="51"/>
      <c r="H202" s="51"/>
      <c r="I202" s="51"/>
      <c r="J202" s="26" t="s">
        <v>573</v>
      </c>
      <c r="K202" s="18"/>
    </row>
    <row r="203" spans="1:11" ht="15" customHeight="1" x14ac:dyDescent="0.35">
      <c r="A203" s="47">
        <v>67</v>
      </c>
      <c r="B203" s="47" t="s">
        <v>574</v>
      </c>
      <c r="C203" s="48" t="s">
        <v>575</v>
      </c>
      <c r="D203" s="8" t="s">
        <v>576</v>
      </c>
      <c r="E203" s="4" t="s">
        <v>16</v>
      </c>
      <c r="F203" s="48" t="s">
        <v>577</v>
      </c>
      <c r="G203" s="47" t="s">
        <v>92</v>
      </c>
      <c r="H203" s="47" t="s">
        <v>55</v>
      </c>
      <c r="I203" s="49" t="s">
        <v>20</v>
      </c>
      <c r="J203" s="9" t="s">
        <v>578</v>
      </c>
      <c r="K203" s="10"/>
    </row>
    <row r="204" spans="1:11" x14ac:dyDescent="0.35">
      <c r="A204" s="47"/>
      <c r="B204" s="47"/>
      <c r="C204" s="47"/>
      <c r="D204" s="11" t="s">
        <v>579</v>
      </c>
      <c r="E204" s="12" t="s">
        <v>23</v>
      </c>
      <c r="F204" s="48"/>
      <c r="G204" s="48"/>
      <c r="H204" s="48"/>
      <c r="I204" s="48"/>
      <c r="J204" s="13" t="s">
        <v>580</v>
      </c>
      <c r="K204" s="14"/>
    </row>
    <row r="205" spans="1:11" x14ac:dyDescent="0.35">
      <c r="A205" s="47"/>
      <c r="B205" s="47"/>
      <c r="C205" s="47"/>
      <c r="D205" s="15" t="s">
        <v>581</v>
      </c>
      <c r="E205" s="16" t="s">
        <v>23</v>
      </c>
      <c r="F205" s="48"/>
      <c r="G205" s="48"/>
      <c r="H205" s="48"/>
      <c r="I205" s="48"/>
      <c r="J205" s="17" t="s">
        <v>582</v>
      </c>
      <c r="K205" s="18"/>
    </row>
    <row r="206" spans="1:11" ht="15" customHeight="1" x14ac:dyDescent="0.35">
      <c r="A206" s="50">
        <v>68</v>
      </c>
      <c r="B206" s="50" t="s">
        <v>583</v>
      </c>
      <c r="C206" s="51" t="s">
        <v>584</v>
      </c>
      <c r="D206" s="19" t="s">
        <v>585</v>
      </c>
      <c r="E206" s="2" t="s">
        <v>16</v>
      </c>
      <c r="F206" s="51" t="s">
        <v>586</v>
      </c>
      <c r="G206" s="50" t="s">
        <v>42</v>
      </c>
      <c r="H206" s="50" t="s">
        <v>55</v>
      </c>
      <c r="I206" s="52" t="s">
        <v>20</v>
      </c>
      <c r="J206" s="20" t="s">
        <v>587</v>
      </c>
      <c r="K206" s="10"/>
    </row>
    <row r="207" spans="1:11" x14ac:dyDescent="0.35">
      <c r="A207" s="50"/>
      <c r="B207" s="50"/>
      <c r="C207" s="50"/>
      <c r="D207" s="21" t="s">
        <v>588</v>
      </c>
      <c r="E207" s="22" t="s">
        <v>23</v>
      </c>
      <c r="F207" s="51"/>
      <c r="G207" s="51"/>
      <c r="H207" s="51"/>
      <c r="I207" s="51"/>
      <c r="J207" s="23" t="s">
        <v>589</v>
      </c>
      <c r="K207" s="14"/>
    </row>
    <row r="208" spans="1:11" x14ac:dyDescent="0.35">
      <c r="A208" s="50"/>
      <c r="B208" s="50"/>
      <c r="C208" s="50"/>
      <c r="D208" s="24" t="s">
        <v>590</v>
      </c>
      <c r="E208" s="25" t="s">
        <v>23</v>
      </c>
      <c r="F208" s="51"/>
      <c r="G208" s="51"/>
      <c r="H208" s="51"/>
      <c r="I208" s="51"/>
      <c r="J208" s="26" t="s">
        <v>591</v>
      </c>
      <c r="K208" s="18"/>
    </row>
    <row r="209" spans="1:11" ht="15" customHeight="1" x14ac:dyDescent="0.35">
      <c r="A209" s="47">
        <v>69</v>
      </c>
      <c r="B209" s="47" t="s">
        <v>592</v>
      </c>
      <c r="C209" s="48" t="s">
        <v>593</v>
      </c>
      <c r="D209" s="8" t="s">
        <v>594</v>
      </c>
      <c r="E209" s="4" t="s">
        <v>16</v>
      </c>
      <c r="F209" s="48" t="s">
        <v>17</v>
      </c>
      <c r="G209" s="47" t="s">
        <v>18</v>
      </c>
      <c r="H209" s="47" t="s">
        <v>55</v>
      </c>
      <c r="I209" s="49" t="s">
        <v>20</v>
      </c>
      <c r="J209" s="9" t="s">
        <v>595</v>
      </c>
      <c r="K209" s="10"/>
    </row>
    <row r="210" spans="1:11" x14ac:dyDescent="0.35">
      <c r="A210" s="47"/>
      <c r="B210" s="47"/>
      <c r="C210" s="47"/>
      <c r="D210" s="11" t="s">
        <v>596</v>
      </c>
      <c r="E210" s="12" t="s">
        <v>23</v>
      </c>
      <c r="F210" s="48"/>
      <c r="G210" s="48"/>
      <c r="H210" s="48"/>
      <c r="I210" s="48"/>
      <c r="J210" s="13" t="s">
        <v>597</v>
      </c>
      <c r="K210" s="14"/>
    </row>
    <row r="211" spans="1:11" x14ac:dyDescent="0.35">
      <c r="A211" s="47"/>
      <c r="B211" s="47"/>
      <c r="C211" s="47"/>
      <c r="D211" s="15" t="s">
        <v>598</v>
      </c>
      <c r="E211" s="16" t="s">
        <v>23</v>
      </c>
      <c r="F211" s="48"/>
      <c r="G211" s="48"/>
      <c r="H211" s="48"/>
      <c r="I211" s="48"/>
      <c r="J211" s="17" t="s">
        <v>599</v>
      </c>
      <c r="K211" s="18"/>
    </row>
    <row r="212" spans="1:11" ht="15" customHeight="1" x14ac:dyDescent="0.35">
      <c r="A212" s="50">
        <v>70</v>
      </c>
      <c r="B212" s="50" t="s">
        <v>600</v>
      </c>
      <c r="C212" s="51" t="s">
        <v>601</v>
      </c>
      <c r="D212" s="19" t="s">
        <v>602</v>
      </c>
      <c r="E212" s="2" t="s">
        <v>16</v>
      </c>
      <c r="F212" s="1" t="s">
        <v>603</v>
      </c>
      <c r="G212" s="2" t="s">
        <v>92</v>
      </c>
      <c r="H212" s="50" t="s">
        <v>55</v>
      </c>
      <c r="I212" s="52" t="s">
        <v>20</v>
      </c>
      <c r="J212" s="20" t="s">
        <v>604</v>
      </c>
      <c r="K212" s="10"/>
    </row>
    <row r="213" spans="1:11" x14ac:dyDescent="0.35">
      <c r="A213" s="50"/>
      <c r="B213" s="50"/>
      <c r="C213" s="50"/>
      <c r="D213" s="21" t="s">
        <v>605</v>
      </c>
      <c r="E213" s="22" t="s">
        <v>23</v>
      </c>
      <c r="F213" s="21" t="s">
        <v>606</v>
      </c>
      <c r="G213" s="22" t="s">
        <v>30</v>
      </c>
      <c r="H213" s="50"/>
      <c r="I213" s="50"/>
      <c r="J213" s="23" t="s">
        <v>607</v>
      </c>
      <c r="K213" s="14"/>
    </row>
    <row r="214" spans="1:11" ht="25" x14ac:dyDescent="0.35">
      <c r="A214" s="50"/>
      <c r="B214" s="50"/>
      <c r="C214" s="50"/>
      <c r="D214" s="24" t="s">
        <v>608</v>
      </c>
      <c r="E214" s="25" t="s">
        <v>23</v>
      </c>
      <c r="F214" s="24" t="s">
        <v>234</v>
      </c>
      <c r="G214" s="25" t="s">
        <v>30</v>
      </c>
      <c r="H214" s="50"/>
      <c r="I214" s="50"/>
      <c r="J214" s="26" t="s">
        <v>609</v>
      </c>
      <c r="K214" s="18"/>
    </row>
    <row r="215" spans="1:11" ht="15" customHeight="1" x14ac:dyDescent="0.35">
      <c r="A215" s="47">
        <v>71</v>
      </c>
      <c r="B215" s="47" t="s">
        <v>610</v>
      </c>
      <c r="C215" s="48" t="s">
        <v>611</v>
      </c>
      <c r="D215" s="8" t="s">
        <v>612</v>
      </c>
      <c r="E215" s="4" t="s">
        <v>16</v>
      </c>
      <c r="F215" s="3" t="s">
        <v>17</v>
      </c>
      <c r="G215" s="4" t="s">
        <v>30</v>
      </c>
      <c r="H215" s="47" t="s">
        <v>55</v>
      </c>
      <c r="I215" s="49" t="s">
        <v>20</v>
      </c>
      <c r="J215" s="9" t="s">
        <v>613</v>
      </c>
      <c r="K215" s="10"/>
    </row>
    <row r="216" spans="1:11" x14ac:dyDescent="0.35">
      <c r="A216" s="47"/>
      <c r="B216" s="47"/>
      <c r="C216" s="47"/>
      <c r="D216" s="11" t="s">
        <v>614</v>
      </c>
      <c r="E216" s="12" t="s">
        <v>23</v>
      </c>
      <c r="F216" s="11" t="s">
        <v>17</v>
      </c>
      <c r="G216" s="12" t="s">
        <v>30</v>
      </c>
      <c r="H216" s="47"/>
      <c r="I216" s="47"/>
      <c r="J216" s="13" t="s">
        <v>615</v>
      </c>
      <c r="K216" s="14"/>
    </row>
    <row r="217" spans="1:11" ht="25" x14ac:dyDescent="0.35">
      <c r="A217" s="47"/>
      <c r="B217" s="47"/>
      <c r="C217" s="47"/>
      <c r="D217" s="15" t="s">
        <v>616</v>
      </c>
      <c r="E217" s="16" t="s">
        <v>23</v>
      </c>
      <c r="F217" s="15" t="s">
        <v>617</v>
      </c>
      <c r="G217" s="16" t="s">
        <v>92</v>
      </c>
      <c r="H217" s="47"/>
      <c r="I217" s="47"/>
      <c r="J217" s="17" t="s">
        <v>618</v>
      </c>
      <c r="K217" s="18"/>
    </row>
    <row r="218" spans="1:11" ht="15" customHeight="1" x14ac:dyDescent="0.35">
      <c r="A218" s="50">
        <v>72</v>
      </c>
      <c r="B218" s="50" t="s">
        <v>619</v>
      </c>
      <c r="C218" s="51" t="s">
        <v>620</v>
      </c>
      <c r="D218" s="19" t="s">
        <v>621</v>
      </c>
      <c r="E218" s="2" t="s">
        <v>16</v>
      </c>
      <c r="F218" s="51" t="s">
        <v>17</v>
      </c>
      <c r="G218" s="50" t="s">
        <v>42</v>
      </c>
      <c r="H218" s="50" t="s">
        <v>193</v>
      </c>
      <c r="I218" s="52" t="s">
        <v>20</v>
      </c>
      <c r="J218" s="20" t="s">
        <v>622</v>
      </c>
      <c r="K218" s="10"/>
    </row>
    <row r="219" spans="1:11" x14ac:dyDescent="0.35">
      <c r="A219" s="50"/>
      <c r="B219" s="50"/>
      <c r="C219" s="50"/>
      <c r="D219" s="21" t="s">
        <v>623</v>
      </c>
      <c r="E219" s="22" t="s">
        <v>23</v>
      </c>
      <c r="F219" s="51"/>
      <c r="G219" s="51"/>
      <c r="H219" s="51"/>
      <c r="I219" s="51"/>
      <c r="J219" s="23" t="s">
        <v>624</v>
      </c>
      <c r="K219" s="14"/>
    </row>
    <row r="220" spans="1:11" x14ac:dyDescent="0.35">
      <c r="A220" s="50"/>
      <c r="B220" s="50"/>
      <c r="C220" s="50"/>
      <c r="D220" s="24" t="s">
        <v>625</v>
      </c>
      <c r="E220" s="25" t="s">
        <v>23</v>
      </c>
      <c r="F220" s="51"/>
      <c r="G220" s="51"/>
      <c r="H220" s="51"/>
      <c r="I220" s="51"/>
      <c r="J220" s="26" t="s">
        <v>626</v>
      </c>
      <c r="K220" s="18"/>
    </row>
    <row r="221" spans="1:11" ht="15" customHeight="1" x14ac:dyDescent="0.35">
      <c r="A221" s="47">
        <v>73</v>
      </c>
      <c r="B221" s="47" t="s">
        <v>627</v>
      </c>
      <c r="C221" s="48" t="s">
        <v>628</v>
      </c>
      <c r="D221" s="8" t="s">
        <v>629</v>
      </c>
      <c r="E221" s="4" t="s">
        <v>16</v>
      </c>
      <c r="F221" s="48" t="s">
        <v>553</v>
      </c>
      <c r="G221" s="47" t="s">
        <v>294</v>
      </c>
      <c r="H221" s="47" t="s">
        <v>193</v>
      </c>
      <c r="I221" s="49" t="s">
        <v>20</v>
      </c>
      <c r="J221" s="9" t="s">
        <v>630</v>
      </c>
      <c r="K221" s="10"/>
    </row>
    <row r="222" spans="1:11" x14ac:dyDescent="0.35">
      <c r="A222" s="47"/>
      <c r="B222" s="47"/>
      <c r="C222" s="47"/>
      <c r="D222" s="11" t="s">
        <v>631</v>
      </c>
      <c r="E222" s="12" t="s">
        <v>23</v>
      </c>
      <c r="F222" s="48"/>
      <c r="G222" s="48"/>
      <c r="H222" s="48"/>
      <c r="I222" s="48"/>
      <c r="J222" s="13" t="s">
        <v>632</v>
      </c>
      <c r="K222" s="14"/>
    </row>
    <row r="223" spans="1:11" x14ac:dyDescent="0.35">
      <c r="A223" s="47"/>
      <c r="B223" s="47"/>
      <c r="C223" s="47"/>
      <c r="D223" s="15" t="s">
        <v>633</v>
      </c>
      <c r="E223" s="16" t="s">
        <v>23</v>
      </c>
      <c r="F223" s="48"/>
      <c r="G223" s="48"/>
      <c r="H223" s="48"/>
      <c r="I223" s="48"/>
      <c r="J223" s="17" t="s">
        <v>634</v>
      </c>
      <c r="K223" s="18"/>
    </row>
    <row r="224" spans="1:11" ht="15" customHeight="1" x14ac:dyDescent="0.35">
      <c r="A224" s="50">
        <v>74</v>
      </c>
      <c r="B224" s="50" t="s">
        <v>635</v>
      </c>
      <c r="C224" s="51" t="s">
        <v>636</v>
      </c>
      <c r="D224" s="19" t="s">
        <v>637</v>
      </c>
      <c r="E224" s="2" t="s">
        <v>16</v>
      </c>
      <c r="F224" s="51" t="s">
        <v>17</v>
      </c>
      <c r="G224" s="50" t="s">
        <v>324</v>
      </c>
      <c r="H224" s="50" t="s">
        <v>55</v>
      </c>
      <c r="I224" s="52" t="s">
        <v>20</v>
      </c>
      <c r="J224" s="20" t="s">
        <v>638</v>
      </c>
      <c r="K224" s="10"/>
    </row>
    <row r="225" spans="1:11" x14ac:dyDescent="0.35">
      <c r="A225" s="50"/>
      <c r="B225" s="50"/>
      <c r="C225" s="50"/>
      <c r="D225" s="21" t="s">
        <v>639</v>
      </c>
      <c r="E225" s="22" t="s">
        <v>23</v>
      </c>
      <c r="F225" s="51"/>
      <c r="G225" s="51"/>
      <c r="H225" s="51"/>
      <c r="I225" s="51"/>
      <c r="J225" s="23" t="s">
        <v>640</v>
      </c>
      <c r="K225" s="14"/>
    </row>
    <row r="226" spans="1:11" x14ac:dyDescent="0.35">
      <c r="A226" s="50"/>
      <c r="B226" s="50"/>
      <c r="C226" s="50"/>
      <c r="D226" s="24" t="s">
        <v>641</v>
      </c>
      <c r="E226" s="25" t="s">
        <v>23</v>
      </c>
      <c r="F226" s="51"/>
      <c r="G226" s="51"/>
      <c r="H226" s="51"/>
      <c r="I226" s="51"/>
      <c r="J226" s="26" t="s">
        <v>642</v>
      </c>
      <c r="K226" s="18"/>
    </row>
    <row r="227" spans="1:11" ht="15" customHeight="1" x14ac:dyDescent="0.35">
      <c r="A227" s="47">
        <v>75</v>
      </c>
      <c r="B227" s="47" t="s">
        <v>643</v>
      </c>
      <c r="C227" s="48" t="s">
        <v>644</v>
      </c>
      <c r="D227" s="8" t="s">
        <v>645</v>
      </c>
      <c r="E227" s="4" t="s">
        <v>16</v>
      </c>
      <c r="F227" s="48" t="s">
        <v>17</v>
      </c>
      <c r="G227" s="47" t="s">
        <v>30</v>
      </c>
      <c r="H227" s="47" t="s">
        <v>31</v>
      </c>
      <c r="I227" s="49" t="s">
        <v>20</v>
      </c>
      <c r="J227" s="9" t="s">
        <v>646</v>
      </c>
      <c r="K227" s="10"/>
    </row>
    <row r="228" spans="1:11" x14ac:dyDescent="0.35">
      <c r="A228" s="47"/>
      <c r="B228" s="47"/>
      <c r="C228" s="47"/>
      <c r="D228" s="11" t="s">
        <v>647</v>
      </c>
      <c r="E228" s="12" t="s">
        <v>23</v>
      </c>
      <c r="F228" s="48"/>
      <c r="G228" s="48"/>
      <c r="H228" s="48"/>
      <c r="I228" s="48"/>
      <c r="J228" s="13" t="s">
        <v>648</v>
      </c>
      <c r="K228" s="14"/>
    </row>
    <row r="229" spans="1:11" x14ac:dyDescent="0.35">
      <c r="A229" s="47"/>
      <c r="B229" s="47"/>
      <c r="C229" s="47"/>
      <c r="D229" s="15" t="s">
        <v>649</v>
      </c>
      <c r="E229" s="16" t="s">
        <v>23</v>
      </c>
      <c r="F229" s="48"/>
      <c r="G229" s="48"/>
      <c r="H229" s="48"/>
      <c r="I229" s="48"/>
      <c r="J229" s="17" t="s">
        <v>650</v>
      </c>
      <c r="K229" s="18"/>
    </row>
    <row r="230" spans="1:11" ht="15" customHeight="1" x14ac:dyDescent="0.35">
      <c r="A230" s="50">
        <v>76</v>
      </c>
      <c r="B230" s="50" t="s">
        <v>651</v>
      </c>
      <c r="C230" s="51" t="s">
        <v>652</v>
      </c>
      <c r="D230" s="19" t="s">
        <v>653</v>
      </c>
      <c r="E230" s="2" t="s">
        <v>16</v>
      </c>
      <c r="F230" s="51" t="s">
        <v>17</v>
      </c>
      <c r="G230" s="50" t="s">
        <v>42</v>
      </c>
      <c r="H230" s="50" t="s">
        <v>31</v>
      </c>
      <c r="I230" s="52" t="s">
        <v>20</v>
      </c>
      <c r="J230" s="20" t="s">
        <v>654</v>
      </c>
      <c r="K230" s="10"/>
    </row>
    <row r="231" spans="1:11" x14ac:dyDescent="0.35">
      <c r="A231" s="50"/>
      <c r="B231" s="50"/>
      <c r="C231" s="50"/>
      <c r="D231" s="21" t="s">
        <v>655</v>
      </c>
      <c r="E231" s="22" t="s">
        <v>23</v>
      </c>
      <c r="F231" s="51"/>
      <c r="G231" s="51"/>
      <c r="H231" s="51"/>
      <c r="I231" s="51"/>
      <c r="J231" s="23" t="s">
        <v>656</v>
      </c>
      <c r="K231" s="14"/>
    </row>
    <row r="232" spans="1:11" ht="25" x14ac:dyDescent="0.35">
      <c r="A232" s="50"/>
      <c r="B232" s="50"/>
      <c r="C232" s="50"/>
      <c r="D232" s="24" t="s">
        <v>657</v>
      </c>
      <c r="E232" s="25" t="s">
        <v>23</v>
      </c>
      <c r="F232" s="51"/>
      <c r="G232" s="51"/>
      <c r="H232" s="51"/>
      <c r="I232" s="51"/>
      <c r="J232" s="26" t="s">
        <v>658</v>
      </c>
      <c r="K232" s="18"/>
    </row>
    <row r="233" spans="1:11" ht="15" customHeight="1" x14ac:dyDescent="0.35">
      <c r="A233" s="47">
        <v>77</v>
      </c>
      <c r="B233" s="47" t="s">
        <v>659</v>
      </c>
      <c r="C233" s="48" t="s">
        <v>660</v>
      </c>
      <c r="D233" s="8" t="s">
        <v>661</v>
      </c>
      <c r="E233" s="4" t="s">
        <v>16</v>
      </c>
      <c r="F233" s="48" t="s">
        <v>17</v>
      </c>
      <c r="G233" s="47" t="s">
        <v>92</v>
      </c>
      <c r="H233" s="47" t="s">
        <v>55</v>
      </c>
      <c r="I233" s="49" t="s">
        <v>20</v>
      </c>
      <c r="J233" s="9" t="s">
        <v>662</v>
      </c>
      <c r="K233" s="10"/>
    </row>
    <row r="234" spans="1:11" x14ac:dyDescent="0.35">
      <c r="A234" s="47"/>
      <c r="B234" s="47"/>
      <c r="C234" s="47"/>
      <c r="D234" s="11" t="s">
        <v>663</v>
      </c>
      <c r="E234" s="12" t="s">
        <v>23</v>
      </c>
      <c r="F234" s="48"/>
      <c r="G234" s="48"/>
      <c r="H234" s="48"/>
      <c r="I234" s="48"/>
      <c r="J234" s="13" t="s">
        <v>664</v>
      </c>
      <c r="K234" s="14"/>
    </row>
    <row r="235" spans="1:11" x14ac:dyDescent="0.35">
      <c r="A235" s="47"/>
      <c r="B235" s="47"/>
      <c r="C235" s="47"/>
      <c r="D235" s="15" t="s">
        <v>665</v>
      </c>
      <c r="E235" s="16" t="s">
        <v>23</v>
      </c>
      <c r="F235" s="48"/>
      <c r="G235" s="48"/>
      <c r="H235" s="48"/>
      <c r="I235" s="48"/>
      <c r="J235" s="17" t="s">
        <v>666</v>
      </c>
      <c r="K235" s="18"/>
    </row>
    <row r="236" spans="1:11" ht="15" customHeight="1" x14ac:dyDescent="0.35">
      <c r="A236" s="50">
        <v>78</v>
      </c>
      <c r="B236" s="50" t="s">
        <v>667</v>
      </c>
      <c r="C236" s="51" t="s">
        <v>668</v>
      </c>
      <c r="D236" s="19" t="s">
        <v>669</v>
      </c>
      <c r="E236" s="2" t="s">
        <v>16</v>
      </c>
      <c r="F236" s="51" t="s">
        <v>17</v>
      </c>
      <c r="G236" s="50" t="s">
        <v>42</v>
      </c>
      <c r="H236" s="50" t="s">
        <v>31</v>
      </c>
      <c r="I236" s="52" t="s">
        <v>20</v>
      </c>
      <c r="J236" s="20" t="s">
        <v>670</v>
      </c>
      <c r="K236" s="10"/>
    </row>
    <row r="237" spans="1:11" x14ac:dyDescent="0.35">
      <c r="A237" s="50"/>
      <c r="B237" s="50"/>
      <c r="C237" s="50"/>
      <c r="D237" s="21" t="s">
        <v>671</v>
      </c>
      <c r="E237" s="22" t="s">
        <v>23</v>
      </c>
      <c r="F237" s="51"/>
      <c r="G237" s="51"/>
      <c r="H237" s="51"/>
      <c r="I237" s="51"/>
      <c r="J237" s="23" t="s">
        <v>672</v>
      </c>
      <c r="K237" s="14"/>
    </row>
    <row r="238" spans="1:11" x14ac:dyDescent="0.35">
      <c r="A238" s="50"/>
      <c r="B238" s="50"/>
      <c r="C238" s="50"/>
      <c r="D238" s="24" t="s">
        <v>673</v>
      </c>
      <c r="E238" s="25" t="s">
        <v>23</v>
      </c>
      <c r="F238" s="51"/>
      <c r="G238" s="51"/>
      <c r="H238" s="51"/>
      <c r="I238" s="51"/>
      <c r="J238" s="26" t="s">
        <v>674</v>
      </c>
      <c r="K238" s="18"/>
    </row>
    <row r="239" spans="1:11" ht="15" customHeight="1" x14ac:dyDescent="0.35">
      <c r="A239" s="47">
        <v>79</v>
      </c>
      <c r="B239" s="47" t="s">
        <v>675</v>
      </c>
      <c r="C239" s="48" t="s">
        <v>676</v>
      </c>
      <c r="D239" s="8" t="s">
        <v>677</v>
      </c>
      <c r="E239" s="4" t="s">
        <v>16</v>
      </c>
      <c r="F239" s="48" t="s">
        <v>17</v>
      </c>
      <c r="G239" s="47" t="s">
        <v>30</v>
      </c>
      <c r="H239" s="47" t="s">
        <v>55</v>
      </c>
      <c r="I239" s="49" t="s">
        <v>20</v>
      </c>
      <c r="J239" s="9" t="s">
        <v>678</v>
      </c>
      <c r="K239" s="10"/>
    </row>
    <row r="240" spans="1:11" x14ac:dyDescent="0.35">
      <c r="A240" s="47"/>
      <c r="B240" s="47"/>
      <c r="C240" s="47"/>
      <c r="D240" s="11" t="s">
        <v>679</v>
      </c>
      <c r="E240" s="12" t="s">
        <v>23</v>
      </c>
      <c r="F240" s="48"/>
      <c r="G240" s="48"/>
      <c r="H240" s="48"/>
      <c r="I240" s="48"/>
      <c r="J240" s="13" t="s">
        <v>680</v>
      </c>
      <c r="K240" s="14"/>
    </row>
    <row r="241" spans="1:11" x14ac:dyDescent="0.35">
      <c r="A241" s="47"/>
      <c r="B241" s="47"/>
      <c r="C241" s="47"/>
      <c r="D241" s="15" t="s">
        <v>681</v>
      </c>
      <c r="E241" s="16" t="s">
        <v>23</v>
      </c>
      <c r="F241" s="48"/>
      <c r="G241" s="48"/>
      <c r="H241" s="48"/>
      <c r="I241" s="48"/>
      <c r="J241" s="17" t="s">
        <v>682</v>
      </c>
      <c r="K241" s="18"/>
    </row>
    <row r="242" spans="1:11" ht="15" customHeight="1" x14ac:dyDescent="0.35">
      <c r="A242" s="50">
        <v>80</v>
      </c>
      <c r="B242" s="50" t="s">
        <v>683</v>
      </c>
      <c r="C242" s="51" t="s">
        <v>684</v>
      </c>
      <c r="D242" s="19" t="s">
        <v>685</v>
      </c>
      <c r="E242" s="2" t="s">
        <v>16</v>
      </c>
      <c r="F242" s="1" t="s">
        <v>17</v>
      </c>
      <c r="G242" s="2" t="s">
        <v>42</v>
      </c>
      <c r="H242" s="2" t="s">
        <v>193</v>
      </c>
      <c r="I242" s="52" t="s">
        <v>20</v>
      </c>
      <c r="J242" s="20" t="s">
        <v>686</v>
      </c>
      <c r="K242" s="10"/>
    </row>
    <row r="243" spans="1:11" ht="25" x14ac:dyDescent="0.35">
      <c r="A243" s="50"/>
      <c r="B243" s="50"/>
      <c r="C243" s="50"/>
      <c r="D243" s="21" t="s">
        <v>687</v>
      </c>
      <c r="E243" s="22" t="s">
        <v>23</v>
      </c>
      <c r="F243" s="21" t="s">
        <v>688</v>
      </c>
      <c r="G243" s="22" t="s">
        <v>92</v>
      </c>
      <c r="H243" s="22" t="s">
        <v>19</v>
      </c>
      <c r="I243" s="52"/>
      <c r="J243" s="23" t="s">
        <v>689</v>
      </c>
      <c r="K243" s="14"/>
    </row>
    <row r="244" spans="1:11" x14ac:dyDescent="0.35">
      <c r="A244" s="50"/>
      <c r="B244" s="50"/>
      <c r="C244" s="50"/>
      <c r="D244" s="24" t="s">
        <v>690</v>
      </c>
      <c r="E244" s="25" t="s">
        <v>23</v>
      </c>
      <c r="F244" s="24" t="s">
        <v>691</v>
      </c>
      <c r="G244" s="25" t="s">
        <v>324</v>
      </c>
      <c r="H244" s="25" t="s">
        <v>692</v>
      </c>
      <c r="I244" s="52"/>
      <c r="J244" s="26" t="s">
        <v>693</v>
      </c>
      <c r="K244" s="18"/>
    </row>
    <row r="245" spans="1:11" ht="15" customHeight="1" x14ac:dyDescent="0.35">
      <c r="A245" s="47">
        <v>81</v>
      </c>
      <c r="B245" s="47" t="s">
        <v>694</v>
      </c>
      <c r="C245" s="48" t="s">
        <v>695</v>
      </c>
      <c r="D245" s="8" t="s">
        <v>696</v>
      </c>
      <c r="E245" s="4" t="s">
        <v>16</v>
      </c>
      <c r="F245" s="48" t="s">
        <v>17</v>
      </c>
      <c r="G245" s="47" t="s">
        <v>92</v>
      </c>
      <c r="H245" s="47" t="s">
        <v>55</v>
      </c>
      <c r="I245" s="49" t="s">
        <v>20</v>
      </c>
      <c r="J245" s="9" t="s">
        <v>697</v>
      </c>
      <c r="K245" s="10"/>
    </row>
    <row r="246" spans="1:11" x14ac:dyDescent="0.35">
      <c r="A246" s="47"/>
      <c r="B246" s="47"/>
      <c r="C246" s="47"/>
      <c r="D246" s="11" t="s">
        <v>698</v>
      </c>
      <c r="E246" s="12" t="s">
        <v>23</v>
      </c>
      <c r="F246" s="48"/>
      <c r="G246" s="48"/>
      <c r="H246" s="48"/>
      <c r="I246" s="48"/>
      <c r="J246" s="13" t="s">
        <v>699</v>
      </c>
      <c r="K246" s="14"/>
    </row>
    <row r="247" spans="1:11" x14ac:dyDescent="0.35">
      <c r="A247" s="47"/>
      <c r="B247" s="47"/>
      <c r="C247" s="47"/>
      <c r="D247" s="15" t="s">
        <v>700</v>
      </c>
      <c r="E247" s="16" t="s">
        <v>23</v>
      </c>
      <c r="F247" s="48"/>
      <c r="G247" s="48"/>
      <c r="H247" s="48"/>
      <c r="I247" s="48"/>
      <c r="J247" s="17" t="s">
        <v>701</v>
      </c>
      <c r="K247" s="18"/>
    </row>
    <row r="248" spans="1:11" ht="15" customHeight="1" x14ac:dyDescent="0.35">
      <c r="A248" s="50">
        <v>82</v>
      </c>
      <c r="B248" s="50" t="s">
        <v>702</v>
      </c>
      <c r="C248" s="51" t="s">
        <v>703</v>
      </c>
      <c r="D248" s="19" t="s">
        <v>704</v>
      </c>
      <c r="E248" s="2" t="s">
        <v>16</v>
      </c>
      <c r="F248" s="51" t="s">
        <v>218</v>
      </c>
      <c r="G248" s="50" t="s">
        <v>42</v>
      </c>
      <c r="H248" s="50" t="s">
        <v>55</v>
      </c>
      <c r="I248" s="52" t="s">
        <v>20</v>
      </c>
      <c r="J248" s="20" t="s">
        <v>705</v>
      </c>
      <c r="K248" s="10"/>
    </row>
    <row r="249" spans="1:11" x14ac:dyDescent="0.35">
      <c r="A249" s="50"/>
      <c r="B249" s="50"/>
      <c r="C249" s="50"/>
      <c r="D249" s="21" t="s">
        <v>706</v>
      </c>
      <c r="E249" s="22" t="s">
        <v>23</v>
      </c>
      <c r="F249" s="51"/>
      <c r="G249" s="51"/>
      <c r="H249" s="51"/>
      <c r="I249" s="51"/>
      <c r="J249" s="23" t="s">
        <v>707</v>
      </c>
      <c r="K249" s="14"/>
    </row>
    <row r="250" spans="1:11" x14ac:dyDescent="0.35">
      <c r="A250" s="50"/>
      <c r="B250" s="50"/>
      <c r="C250" s="50"/>
      <c r="D250" s="24" t="s">
        <v>708</v>
      </c>
      <c r="E250" s="25" t="s">
        <v>23</v>
      </c>
      <c r="F250" s="51"/>
      <c r="G250" s="51"/>
      <c r="H250" s="51"/>
      <c r="I250" s="51"/>
      <c r="J250" s="26" t="s">
        <v>709</v>
      </c>
      <c r="K250" s="18"/>
    </row>
    <row r="251" spans="1:11" ht="15" customHeight="1" x14ac:dyDescent="0.35">
      <c r="A251" s="47">
        <v>83</v>
      </c>
      <c r="B251" s="47" t="s">
        <v>710</v>
      </c>
      <c r="C251" s="48" t="s">
        <v>711</v>
      </c>
      <c r="D251" s="8" t="s">
        <v>712</v>
      </c>
      <c r="E251" s="4" t="s">
        <v>16</v>
      </c>
      <c r="F251" s="48" t="s">
        <v>192</v>
      </c>
      <c r="G251" s="47" t="s">
        <v>92</v>
      </c>
      <c r="H251" s="47" t="s">
        <v>55</v>
      </c>
      <c r="I251" s="49" t="s">
        <v>20</v>
      </c>
      <c r="J251" s="9" t="s">
        <v>713</v>
      </c>
      <c r="K251" s="10"/>
    </row>
    <row r="252" spans="1:11" x14ac:dyDescent="0.35">
      <c r="A252" s="47"/>
      <c r="B252" s="47"/>
      <c r="C252" s="47"/>
      <c r="D252" s="11" t="s">
        <v>714</v>
      </c>
      <c r="E252" s="12" t="s">
        <v>23</v>
      </c>
      <c r="F252" s="48"/>
      <c r="G252" s="48"/>
      <c r="H252" s="48"/>
      <c r="I252" s="48"/>
      <c r="J252" s="13" t="s">
        <v>715</v>
      </c>
      <c r="K252" s="14"/>
    </row>
    <row r="253" spans="1:11" x14ac:dyDescent="0.35">
      <c r="A253" s="47"/>
      <c r="B253" s="47"/>
      <c r="C253" s="47"/>
      <c r="D253" s="15" t="s">
        <v>716</v>
      </c>
      <c r="E253" s="16" t="s">
        <v>23</v>
      </c>
      <c r="F253" s="48"/>
      <c r="G253" s="48"/>
      <c r="H253" s="48"/>
      <c r="I253" s="48"/>
      <c r="J253" s="17" t="s">
        <v>717</v>
      </c>
      <c r="K253" s="18"/>
    </row>
    <row r="254" spans="1:11" ht="15" customHeight="1" x14ac:dyDescent="0.35">
      <c r="A254" s="50">
        <v>84</v>
      </c>
      <c r="B254" s="50" t="s">
        <v>718</v>
      </c>
      <c r="C254" s="51" t="s">
        <v>719</v>
      </c>
      <c r="D254" s="19" t="s">
        <v>720</v>
      </c>
      <c r="E254" s="2" t="s">
        <v>16</v>
      </c>
      <c r="F254" s="51" t="s">
        <v>17</v>
      </c>
      <c r="G254" s="50" t="s">
        <v>18</v>
      </c>
      <c r="H254" s="50" t="s">
        <v>55</v>
      </c>
      <c r="I254" s="52" t="s">
        <v>20</v>
      </c>
      <c r="J254" s="20" t="s">
        <v>721</v>
      </c>
      <c r="K254" s="10"/>
    </row>
    <row r="255" spans="1:11" x14ac:dyDescent="0.35">
      <c r="A255" s="50"/>
      <c r="B255" s="50"/>
      <c r="C255" s="50"/>
      <c r="D255" s="21" t="s">
        <v>722</v>
      </c>
      <c r="E255" s="22" t="s">
        <v>23</v>
      </c>
      <c r="F255" s="51"/>
      <c r="G255" s="51"/>
      <c r="H255" s="51"/>
      <c r="I255" s="51"/>
      <c r="J255" s="23" t="s">
        <v>723</v>
      </c>
      <c r="K255" s="14"/>
    </row>
    <row r="256" spans="1:11" x14ac:dyDescent="0.35">
      <c r="A256" s="50"/>
      <c r="B256" s="50"/>
      <c r="C256" s="50"/>
      <c r="D256" s="24" t="s">
        <v>724</v>
      </c>
      <c r="E256" s="25" t="s">
        <v>23</v>
      </c>
      <c r="F256" s="51"/>
      <c r="G256" s="51"/>
      <c r="H256" s="51"/>
      <c r="I256" s="51"/>
      <c r="J256" s="26" t="s">
        <v>725</v>
      </c>
      <c r="K256" s="18"/>
    </row>
    <row r="257" spans="1:11" ht="15" customHeight="1" x14ac:dyDescent="0.35">
      <c r="A257" s="47">
        <v>85</v>
      </c>
      <c r="B257" s="47" t="s">
        <v>726</v>
      </c>
      <c r="C257" s="48" t="s">
        <v>727</v>
      </c>
      <c r="D257" s="8" t="s">
        <v>728</v>
      </c>
      <c r="E257" s="4" t="s">
        <v>16</v>
      </c>
      <c r="F257" s="48" t="s">
        <v>17</v>
      </c>
      <c r="G257" s="47" t="s">
        <v>18</v>
      </c>
      <c r="H257" s="47" t="s">
        <v>31</v>
      </c>
      <c r="I257" s="49" t="s">
        <v>20</v>
      </c>
      <c r="J257" s="9" t="s">
        <v>729</v>
      </c>
      <c r="K257" s="10"/>
    </row>
    <row r="258" spans="1:11" x14ac:dyDescent="0.35">
      <c r="A258" s="47"/>
      <c r="B258" s="47"/>
      <c r="C258" s="47"/>
      <c r="D258" s="11" t="s">
        <v>730</v>
      </c>
      <c r="E258" s="12" t="s">
        <v>23</v>
      </c>
      <c r="F258" s="48"/>
      <c r="G258" s="48"/>
      <c r="H258" s="48"/>
      <c r="I258" s="48"/>
      <c r="J258" s="13" t="s">
        <v>731</v>
      </c>
      <c r="K258" s="14"/>
    </row>
    <row r="259" spans="1:11" x14ac:dyDescent="0.35">
      <c r="A259" s="47"/>
      <c r="B259" s="47"/>
      <c r="C259" s="47"/>
      <c r="D259" s="15" t="s">
        <v>732</v>
      </c>
      <c r="E259" s="16" t="s">
        <v>23</v>
      </c>
      <c r="F259" s="48"/>
      <c r="G259" s="48"/>
      <c r="H259" s="48"/>
      <c r="I259" s="48"/>
      <c r="J259" s="17" t="s">
        <v>733</v>
      </c>
      <c r="K259" s="18"/>
    </row>
    <row r="260" spans="1:11" ht="15" customHeight="1" x14ac:dyDescent="0.35">
      <c r="A260" s="50">
        <v>86</v>
      </c>
      <c r="B260" s="50" t="s">
        <v>734</v>
      </c>
      <c r="C260" s="51" t="s">
        <v>735</v>
      </c>
      <c r="D260" s="19" t="s">
        <v>736</v>
      </c>
      <c r="E260" s="2" t="s">
        <v>16</v>
      </c>
      <c r="F260" s="51" t="s">
        <v>167</v>
      </c>
      <c r="G260" s="50" t="s">
        <v>92</v>
      </c>
      <c r="H260" s="50" t="s">
        <v>31</v>
      </c>
      <c r="I260" s="52" t="s">
        <v>20</v>
      </c>
      <c r="J260" s="20" t="s">
        <v>737</v>
      </c>
      <c r="K260" s="10"/>
    </row>
    <row r="261" spans="1:11" x14ac:dyDescent="0.35">
      <c r="A261" s="50"/>
      <c r="B261" s="50"/>
      <c r="C261" s="50"/>
      <c r="D261" s="21" t="s">
        <v>738</v>
      </c>
      <c r="E261" s="22" t="s">
        <v>23</v>
      </c>
      <c r="F261" s="51"/>
      <c r="G261" s="51"/>
      <c r="H261" s="51"/>
      <c r="I261" s="51"/>
      <c r="J261" s="23" t="s">
        <v>739</v>
      </c>
      <c r="K261" s="14"/>
    </row>
    <row r="262" spans="1:11" x14ac:dyDescent="0.35">
      <c r="A262" s="50"/>
      <c r="B262" s="50"/>
      <c r="C262" s="50"/>
      <c r="D262" s="24" t="s">
        <v>740</v>
      </c>
      <c r="E262" s="25" t="s">
        <v>23</v>
      </c>
      <c r="F262" s="51"/>
      <c r="G262" s="51"/>
      <c r="H262" s="51"/>
      <c r="I262" s="51"/>
      <c r="J262" s="26" t="s">
        <v>741</v>
      </c>
      <c r="K262" s="18"/>
    </row>
    <row r="263" spans="1:11" ht="15" customHeight="1" x14ac:dyDescent="0.35">
      <c r="A263" s="47">
        <v>87</v>
      </c>
      <c r="B263" s="47" t="s">
        <v>742</v>
      </c>
      <c r="C263" s="48" t="s">
        <v>743</v>
      </c>
      <c r="D263" s="8" t="s">
        <v>744</v>
      </c>
      <c r="E263" s="4" t="s">
        <v>16</v>
      </c>
      <c r="F263" s="48" t="s">
        <v>17</v>
      </c>
      <c r="G263" s="47" t="s">
        <v>92</v>
      </c>
      <c r="H263" s="47" t="s">
        <v>31</v>
      </c>
      <c r="I263" s="49" t="s">
        <v>20</v>
      </c>
      <c r="J263" s="9" t="s">
        <v>745</v>
      </c>
      <c r="K263" s="10"/>
    </row>
    <row r="264" spans="1:11" x14ac:dyDescent="0.35">
      <c r="A264" s="47"/>
      <c r="B264" s="47"/>
      <c r="C264" s="47"/>
      <c r="D264" s="11" t="s">
        <v>746</v>
      </c>
      <c r="E264" s="12" t="s">
        <v>23</v>
      </c>
      <c r="F264" s="48"/>
      <c r="G264" s="48"/>
      <c r="H264" s="48"/>
      <c r="I264" s="48"/>
      <c r="J264" s="13" t="s">
        <v>747</v>
      </c>
      <c r="K264" s="14"/>
    </row>
    <row r="265" spans="1:11" x14ac:dyDescent="0.35">
      <c r="A265" s="47"/>
      <c r="B265" s="47"/>
      <c r="C265" s="47"/>
      <c r="D265" s="15" t="s">
        <v>748</v>
      </c>
      <c r="E265" s="16" t="s">
        <v>23</v>
      </c>
      <c r="F265" s="48"/>
      <c r="G265" s="48"/>
      <c r="H265" s="48"/>
      <c r="I265" s="48"/>
      <c r="J265" s="17" t="s">
        <v>749</v>
      </c>
      <c r="K265" s="18"/>
    </row>
    <row r="266" spans="1:11" ht="15" customHeight="1" x14ac:dyDescent="0.35">
      <c r="A266" s="50">
        <v>88</v>
      </c>
      <c r="B266" s="50" t="s">
        <v>750</v>
      </c>
      <c r="C266" s="51" t="s">
        <v>751</v>
      </c>
      <c r="D266" s="19" t="s">
        <v>752</v>
      </c>
      <c r="E266" s="2" t="s">
        <v>16</v>
      </c>
      <c r="F266" s="51" t="s">
        <v>17</v>
      </c>
      <c r="G266" s="50" t="s">
        <v>42</v>
      </c>
      <c r="H266" s="50" t="s">
        <v>31</v>
      </c>
      <c r="I266" s="52" t="s">
        <v>20</v>
      </c>
      <c r="J266" s="20" t="s">
        <v>753</v>
      </c>
      <c r="K266" s="10"/>
    </row>
    <row r="267" spans="1:11" x14ac:dyDescent="0.35">
      <c r="A267" s="50"/>
      <c r="B267" s="50"/>
      <c r="C267" s="50"/>
      <c r="D267" s="21" t="s">
        <v>754</v>
      </c>
      <c r="E267" s="22" t="s">
        <v>23</v>
      </c>
      <c r="F267" s="51"/>
      <c r="G267" s="51"/>
      <c r="H267" s="51"/>
      <c r="I267" s="51"/>
      <c r="J267" s="23" t="s">
        <v>755</v>
      </c>
      <c r="K267" s="14"/>
    </row>
    <row r="268" spans="1:11" x14ac:dyDescent="0.35">
      <c r="A268" s="50"/>
      <c r="B268" s="50"/>
      <c r="C268" s="50"/>
      <c r="D268" s="24" t="s">
        <v>756</v>
      </c>
      <c r="E268" s="25" t="s">
        <v>23</v>
      </c>
      <c r="F268" s="51"/>
      <c r="G268" s="51"/>
      <c r="H268" s="51"/>
      <c r="I268" s="51"/>
      <c r="J268" s="26" t="s">
        <v>757</v>
      </c>
      <c r="K268" s="18"/>
    </row>
    <row r="269" spans="1:11" ht="15" customHeight="1" x14ac:dyDescent="0.35">
      <c r="A269" s="47">
        <v>89</v>
      </c>
      <c r="B269" s="47" t="s">
        <v>758</v>
      </c>
      <c r="C269" s="48" t="s">
        <v>759</v>
      </c>
      <c r="D269" s="8" t="s">
        <v>760</v>
      </c>
      <c r="E269" s="4" t="s">
        <v>16</v>
      </c>
      <c r="F269" s="3" t="s">
        <v>761</v>
      </c>
      <c r="G269" s="4" t="s">
        <v>294</v>
      </c>
      <c r="H269" s="47" t="s">
        <v>31</v>
      </c>
      <c r="I269" s="49" t="s">
        <v>20</v>
      </c>
      <c r="J269" s="9" t="s">
        <v>762</v>
      </c>
      <c r="K269" s="10"/>
    </row>
    <row r="270" spans="1:11" x14ac:dyDescent="0.35">
      <c r="A270" s="47"/>
      <c r="B270" s="47"/>
      <c r="C270" s="47"/>
      <c r="D270" s="11" t="s">
        <v>763</v>
      </c>
      <c r="E270" s="12" t="s">
        <v>23</v>
      </c>
      <c r="F270" s="11" t="s">
        <v>764</v>
      </c>
      <c r="G270" s="12" t="s">
        <v>765</v>
      </c>
      <c r="H270" s="47"/>
      <c r="I270" s="47"/>
      <c r="J270" s="13" t="s">
        <v>766</v>
      </c>
      <c r="K270" s="14"/>
    </row>
    <row r="271" spans="1:11" x14ac:dyDescent="0.35">
      <c r="A271" s="47"/>
      <c r="B271" s="47"/>
      <c r="C271" s="47"/>
      <c r="D271" s="15" t="s">
        <v>767</v>
      </c>
      <c r="E271" s="16" t="s">
        <v>23</v>
      </c>
      <c r="F271" s="15" t="s">
        <v>768</v>
      </c>
      <c r="G271" s="16" t="s">
        <v>34</v>
      </c>
      <c r="H271" s="47"/>
      <c r="I271" s="47"/>
      <c r="J271" s="17" t="s">
        <v>769</v>
      </c>
      <c r="K271" s="18"/>
    </row>
    <row r="272" spans="1:11" ht="15" customHeight="1" x14ac:dyDescent="0.35">
      <c r="A272" s="50">
        <v>90</v>
      </c>
      <c r="B272" s="50" t="s">
        <v>770</v>
      </c>
      <c r="C272" s="51" t="s">
        <v>759</v>
      </c>
      <c r="D272" s="19" t="s">
        <v>771</v>
      </c>
      <c r="E272" s="2" t="s">
        <v>16</v>
      </c>
      <c r="F272" s="51" t="s">
        <v>17</v>
      </c>
      <c r="G272" s="50" t="s">
        <v>42</v>
      </c>
      <c r="H272" s="50" t="s">
        <v>31</v>
      </c>
      <c r="I272" s="52" t="s">
        <v>20</v>
      </c>
      <c r="J272" s="20" t="s">
        <v>772</v>
      </c>
      <c r="K272" s="10"/>
    </row>
    <row r="273" spans="1:11" x14ac:dyDescent="0.35">
      <c r="A273" s="50"/>
      <c r="B273" s="50"/>
      <c r="C273" s="50"/>
      <c r="D273" s="21" t="s">
        <v>773</v>
      </c>
      <c r="E273" s="22" t="s">
        <v>23</v>
      </c>
      <c r="F273" s="51"/>
      <c r="G273" s="51"/>
      <c r="H273" s="51"/>
      <c r="I273" s="51"/>
      <c r="J273" s="23" t="s">
        <v>774</v>
      </c>
      <c r="K273" s="14"/>
    </row>
    <row r="274" spans="1:11" x14ac:dyDescent="0.35">
      <c r="A274" s="50"/>
      <c r="B274" s="50"/>
      <c r="C274" s="50"/>
      <c r="D274" s="24" t="s">
        <v>775</v>
      </c>
      <c r="E274" s="25" t="s">
        <v>23</v>
      </c>
      <c r="F274" s="51"/>
      <c r="G274" s="51"/>
      <c r="H274" s="51"/>
      <c r="I274" s="51"/>
      <c r="J274" s="26" t="s">
        <v>776</v>
      </c>
      <c r="K274" s="18"/>
    </row>
    <row r="275" spans="1:11" ht="15" customHeight="1" x14ac:dyDescent="0.35">
      <c r="A275" s="47">
        <v>91</v>
      </c>
      <c r="B275" s="47" t="s">
        <v>777</v>
      </c>
      <c r="C275" s="48" t="s">
        <v>759</v>
      </c>
      <c r="D275" s="8" t="s">
        <v>778</v>
      </c>
      <c r="E275" s="4" t="s">
        <v>16</v>
      </c>
      <c r="F275" s="48" t="s">
        <v>779</v>
      </c>
      <c r="G275" s="47" t="s">
        <v>92</v>
      </c>
      <c r="H275" s="47" t="s">
        <v>55</v>
      </c>
      <c r="I275" s="49" t="s">
        <v>20</v>
      </c>
      <c r="J275" s="9" t="s">
        <v>780</v>
      </c>
      <c r="K275" s="10"/>
    </row>
    <row r="276" spans="1:11" x14ac:dyDescent="0.35">
      <c r="A276" s="47"/>
      <c r="B276" s="47"/>
      <c r="C276" s="47"/>
      <c r="D276" s="11" t="s">
        <v>781</v>
      </c>
      <c r="E276" s="12" t="s">
        <v>23</v>
      </c>
      <c r="F276" s="48"/>
      <c r="G276" s="48"/>
      <c r="H276" s="48"/>
      <c r="I276" s="48"/>
      <c r="J276" s="13" t="s">
        <v>782</v>
      </c>
      <c r="K276" s="14"/>
    </row>
    <row r="277" spans="1:11" x14ac:dyDescent="0.35">
      <c r="A277" s="47"/>
      <c r="B277" s="47"/>
      <c r="C277" s="47"/>
      <c r="D277" s="15" t="s">
        <v>783</v>
      </c>
      <c r="E277" s="16" t="s">
        <v>23</v>
      </c>
      <c r="F277" s="48"/>
      <c r="G277" s="48"/>
      <c r="H277" s="48"/>
      <c r="I277" s="48"/>
      <c r="J277" s="17" t="s">
        <v>784</v>
      </c>
      <c r="K277" s="18"/>
    </row>
    <row r="278" spans="1:11" ht="15" customHeight="1" x14ac:dyDescent="0.35">
      <c r="A278" s="50">
        <v>92</v>
      </c>
      <c r="B278" s="50" t="s">
        <v>785</v>
      </c>
      <c r="C278" s="51" t="s">
        <v>759</v>
      </c>
      <c r="D278" s="19" t="s">
        <v>786</v>
      </c>
      <c r="E278" s="2" t="s">
        <v>16</v>
      </c>
      <c r="F278" s="51" t="s">
        <v>17</v>
      </c>
      <c r="G278" s="50" t="s">
        <v>18</v>
      </c>
      <c r="H278" s="50" t="s">
        <v>55</v>
      </c>
      <c r="I278" s="52" t="s">
        <v>20</v>
      </c>
      <c r="J278" s="20" t="s">
        <v>787</v>
      </c>
      <c r="K278" s="10"/>
    </row>
    <row r="279" spans="1:11" x14ac:dyDescent="0.35">
      <c r="A279" s="50"/>
      <c r="B279" s="50"/>
      <c r="C279" s="50"/>
      <c r="D279" s="21" t="s">
        <v>788</v>
      </c>
      <c r="E279" s="22" t="s">
        <v>23</v>
      </c>
      <c r="F279" s="51"/>
      <c r="G279" s="51"/>
      <c r="H279" s="51"/>
      <c r="I279" s="51"/>
      <c r="J279" s="23" t="s">
        <v>789</v>
      </c>
      <c r="K279" s="14"/>
    </row>
    <row r="280" spans="1:11" x14ac:dyDescent="0.35">
      <c r="A280" s="50"/>
      <c r="B280" s="50"/>
      <c r="C280" s="50"/>
      <c r="D280" s="24" t="s">
        <v>790</v>
      </c>
      <c r="E280" s="25" t="s">
        <v>23</v>
      </c>
      <c r="F280" s="51"/>
      <c r="G280" s="51"/>
      <c r="H280" s="51"/>
      <c r="I280" s="51"/>
      <c r="J280" s="26" t="s">
        <v>791</v>
      </c>
      <c r="K280" s="18"/>
    </row>
    <row r="281" spans="1:11" ht="15" customHeight="1" x14ac:dyDescent="0.35">
      <c r="A281" s="47">
        <v>93</v>
      </c>
      <c r="B281" s="47" t="s">
        <v>792</v>
      </c>
      <c r="C281" s="48" t="s">
        <v>793</v>
      </c>
      <c r="D281" s="8" t="s">
        <v>794</v>
      </c>
      <c r="E281" s="4" t="s">
        <v>16</v>
      </c>
      <c r="F281" s="48" t="s">
        <v>17</v>
      </c>
      <c r="G281" s="47" t="s">
        <v>42</v>
      </c>
      <c r="H281" s="47" t="s">
        <v>31</v>
      </c>
      <c r="I281" s="49" t="s">
        <v>20</v>
      </c>
      <c r="J281" s="9" t="s">
        <v>795</v>
      </c>
      <c r="K281" s="10"/>
    </row>
    <row r="282" spans="1:11" x14ac:dyDescent="0.35">
      <c r="A282" s="47"/>
      <c r="B282" s="47"/>
      <c r="C282" s="47"/>
      <c r="D282" s="11" t="s">
        <v>796</v>
      </c>
      <c r="E282" s="12" t="s">
        <v>23</v>
      </c>
      <c r="F282" s="48"/>
      <c r="G282" s="48"/>
      <c r="H282" s="48"/>
      <c r="I282" s="48"/>
      <c r="J282" s="13" t="s">
        <v>797</v>
      </c>
      <c r="K282" s="14"/>
    </row>
    <row r="283" spans="1:11" x14ac:dyDescent="0.35">
      <c r="A283" s="47"/>
      <c r="B283" s="47"/>
      <c r="C283" s="47"/>
      <c r="D283" s="15" t="s">
        <v>798</v>
      </c>
      <c r="E283" s="16" t="s">
        <v>23</v>
      </c>
      <c r="F283" s="48"/>
      <c r="G283" s="48"/>
      <c r="H283" s="48"/>
      <c r="I283" s="48"/>
      <c r="J283" s="17" t="s">
        <v>799</v>
      </c>
      <c r="K283" s="18"/>
    </row>
    <row r="284" spans="1:11" ht="15" customHeight="1" x14ac:dyDescent="0.35">
      <c r="A284" s="50">
        <v>94</v>
      </c>
      <c r="B284" s="50" t="s">
        <v>800</v>
      </c>
      <c r="C284" s="51" t="s">
        <v>801</v>
      </c>
      <c r="D284" s="19" t="s">
        <v>802</v>
      </c>
      <c r="E284" s="2" t="s">
        <v>16</v>
      </c>
      <c r="F284" s="51" t="s">
        <v>17</v>
      </c>
      <c r="G284" s="50" t="s">
        <v>30</v>
      </c>
      <c r="H284" s="2" t="s">
        <v>55</v>
      </c>
      <c r="I284" s="52" t="s">
        <v>20</v>
      </c>
      <c r="J284" s="20" t="s">
        <v>803</v>
      </c>
      <c r="K284" s="10"/>
    </row>
    <row r="285" spans="1:11" x14ac:dyDescent="0.35">
      <c r="A285" s="50"/>
      <c r="B285" s="50"/>
      <c r="C285" s="50"/>
      <c r="D285" s="21" t="s">
        <v>804</v>
      </c>
      <c r="E285" s="22" t="s">
        <v>23</v>
      </c>
      <c r="F285" s="51"/>
      <c r="G285" s="51"/>
      <c r="H285" s="22" t="s">
        <v>31</v>
      </c>
      <c r="I285" s="52"/>
      <c r="J285" s="23" t="s">
        <v>805</v>
      </c>
      <c r="K285" s="14"/>
    </row>
    <row r="286" spans="1:11" x14ac:dyDescent="0.35">
      <c r="A286" s="50"/>
      <c r="B286" s="50"/>
      <c r="C286" s="50"/>
      <c r="D286" s="24" t="s">
        <v>806</v>
      </c>
      <c r="E286" s="25" t="s">
        <v>23</v>
      </c>
      <c r="F286" s="51"/>
      <c r="G286" s="51"/>
      <c r="H286" s="25" t="s">
        <v>55</v>
      </c>
      <c r="I286" s="52"/>
      <c r="J286" s="26" t="s">
        <v>807</v>
      </c>
      <c r="K286" s="18"/>
    </row>
    <row r="287" spans="1:11" ht="15" customHeight="1" x14ac:dyDescent="0.35">
      <c r="A287" s="47">
        <v>95</v>
      </c>
      <c r="B287" s="47" t="s">
        <v>808</v>
      </c>
      <c r="C287" s="48" t="s">
        <v>801</v>
      </c>
      <c r="D287" s="8" t="s">
        <v>809</v>
      </c>
      <c r="E287" s="4" t="s">
        <v>16</v>
      </c>
      <c r="F287" s="48" t="s">
        <v>17</v>
      </c>
      <c r="G287" s="47" t="s">
        <v>30</v>
      </c>
      <c r="H287" s="47" t="s">
        <v>31</v>
      </c>
      <c r="I287" s="49" t="s">
        <v>20</v>
      </c>
      <c r="J287" s="9" t="s">
        <v>810</v>
      </c>
      <c r="K287" s="10"/>
    </row>
    <row r="288" spans="1:11" x14ac:dyDescent="0.35">
      <c r="A288" s="47"/>
      <c r="B288" s="47"/>
      <c r="C288" s="47"/>
      <c r="D288" s="11" t="s">
        <v>811</v>
      </c>
      <c r="E288" s="12" t="s">
        <v>23</v>
      </c>
      <c r="F288" s="48"/>
      <c r="G288" s="48"/>
      <c r="H288" s="48"/>
      <c r="I288" s="48"/>
      <c r="J288" s="13" t="s">
        <v>812</v>
      </c>
      <c r="K288" s="14"/>
    </row>
    <row r="289" spans="1:11" x14ac:dyDescent="0.35">
      <c r="A289" s="47"/>
      <c r="B289" s="47"/>
      <c r="C289" s="47"/>
      <c r="D289" s="15" t="s">
        <v>813</v>
      </c>
      <c r="E289" s="16" t="s">
        <v>23</v>
      </c>
      <c r="F289" s="48"/>
      <c r="G289" s="48"/>
      <c r="H289" s="48"/>
      <c r="I289" s="48"/>
      <c r="J289" s="17" t="s">
        <v>814</v>
      </c>
      <c r="K289" s="18"/>
    </row>
    <row r="290" spans="1:11" ht="15" customHeight="1" x14ac:dyDescent="0.35">
      <c r="A290" s="50">
        <v>96</v>
      </c>
      <c r="B290" s="50" t="s">
        <v>815</v>
      </c>
      <c r="C290" s="51" t="s">
        <v>801</v>
      </c>
      <c r="D290" s="19" t="s">
        <v>816</v>
      </c>
      <c r="E290" s="2" t="s">
        <v>16</v>
      </c>
      <c r="F290" s="51" t="s">
        <v>17</v>
      </c>
      <c r="G290" s="50" t="s">
        <v>92</v>
      </c>
      <c r="H290" s="50" t="s">
        <v>55</v>
      </c>
      <c r="I290" s="52" t="s">
        <v>20</v>
      </c>
      <c r="J290" s="20" t="s">
        <v>817</v>
      </c>
      <c r="K290" s="10"/>
    </row>
    <row r="291" spans="1:11" x14ac:dyDescent="0.35">
      <c r="A291" s="50"/>
      <c r="B291" s="50"/>
      <c r="C291" s="50"/>
      <c r="D291" s="21" t="s">
        <v>818</v>
      </c>
      <c r="E291" s="22" t="s">
        <v>23</v>
      </c>
      <c r="F291" s="51"/>
      <c r="G291" s="51"/>
      <c r="H291" s="51"/>
      <c r="I291" s="51"/>
      <c r="J291" s="23" t="s">
        <v>819</v>
      </c>
      <c r="K291" s="14"/>
    </row>
    <row r="292" spans="1:11" x14ac:dyDescent="0.35">
      <c r="A292" s="50"/>
      <c r="B292" s="50"/>
      <c r="C292" s="50"/>
      <c r="D292" s="24" t="s">
        <v>820</v>
      </c>
      <c r="E292" s="25" t="s">
        <v>23</v>
      </c>
      <c r="F292" s="51"/>
      <c r="G292" s="51"/>
      <c r="H292" s="51"/>
      <c r="I292" s="51"/>
      <c r="J292" s="26" t="s">
        <v>821</v>
      </c>
      <c r="K292" s="18"/>
    </row>
    <row r="293" spans="1:11" ht="15" customHeight="1" x14ac:dyDescent="0.35">
      <c r="A293" s="47">
        <v>97</v>
      </c>
      <c r="B293" s="47" t="s">
        <v>822</v>
      </c>
      <c r="C293" s="48" t="s">
        <v>823</v>
      </c>
      <c r="D293" s="8" t="s">
        <v>824</v>
      </c>
      <c r="E293" s="4" t="s">
        <v>16</v>
      </c>
      <c r="F293" s="48" t="s">
        <v>17</v>
      </c>
      <c r="G293" s="47" t="s">
        <v>18</v>
      </c>
      <c r="H293" s="47" t="s">
        <v>31</v>
      </c>
      <c r="I293" s="49" t="s">
        <v>20</v>
      </c>
      <c r="J293" s="9" t="s">
        <v>825</v>
      </c>
      <c r="K293" s="10"/>
    </row>
    <row r="294" spans="1:11" x14ac:dyDescent="0.35">
      <c r="A294" s="47"/>
      <c r="B294" s="47"/>
      <c r="C294" s="47"/>
      <c r="D294" s="11" t="s">
        <v>826</v>
      </c>
      <c r="E294" s="12" t="s">
        <v>23</v>
      </c>
      <c r="F294" s="48"/>
      <c r="G294" s="48"/>
      <c r="H294" s="48"/>
      <c r="I294" s="48"/>
      <c r="J294" s="13" t="s">
        <v>827</v>
      </c>
      <c r="K294" s="14"/>
    </row>
    <row r="295" spans="1:11" x14ac:dyDescent="0.35">
      <c r="A295" s="47"/>
      <c r="B295" s="47"/>
      <c r="C295" s="47"/>
      <c r="D295" s="15" t="s">
        <v>828</v>
      </c>
      <c r="E295" s="16" t="s">
        <v>23</v>
      </c>
      <c r="F295" s="48"/>
      <c r="G295" s="48"/>
      <c r="H295" s="48"/>
      <c r="I295" s="48"/>
      <c r="J295" s="17" t="s">
        <v>829</v>
      </c>
      <c r="K295" s="18"/>
    </row>
    <row r="296" spans="1:11" ht="15" customHeight="1" x14ac:dyDescent="0.35">
      <c r="A296" s="50">
        <v>98</v>
      </c>
      <c r="B296" s="50" t="s">
        <v>830</v>
      </c>
      <c r="C296" s="51" t="s">
        <v>831</v>
      </c>
      <c r="D296" s="19" t="s">
        <v>832</v>
      </c>
      <c r="E296" s="2" t="s">
        <v>16</v>
      </c>
      <c r="F296" s="51" t="s">
        <v>17</v>
      </c>
      <c r="G296" s="2" t="s">
        <v>30</v>
      </c>
      <c r="H296" s="50" t="s">
        <v>31</v>
      </c>
      <c r="I296" s="52" t="s">
        <v>20</v>
      </c>
      <c r="J296" s="20" t="s">
        <v>833</v>
      </c>
      <c r="K296" s="10"/>
    </row>
    <row r="297" spans="1:11" x14ac:dyDescent="0.35">
      <c r="A297" s="50"/>
      <c r="B297" s="50"/>
      <c r="C297" s="50"/>
      <c r="D297" s="21" t="s">
        <v>834</v>
      </c>
      <c r="E297" s="22" t="s">
        <v>23</v>
      </c>
      <c r="F297" s="51"/>
      <c r="G297" s="22" t="s">
        <v>42</v>
      </c>
      <c r="H297" s="50"/>
      <c r="I297" s="50"/>
      <c r="J297" s="23" t="s">
        <v>835</v>
      </c>
      <c r="K297" s="14"/>
    </row>
    <row r="298" spans="1:11" x14ac:dyDescent="0.35">
      <c r="A298" s="50"/>
      <c r="B298" s="50"/>
      <c r="C298" s="50"/>
      <c r="D298" s="24" t="s">
        <v>836</v>
      </c>
      <c r="E298" s="25" t="s">
        <v>23</v>
      </c>
      <c r="F298" s="51"/>
      <c r="G298" s="25" t="s">
        <v>30</v>
      </c>
      <c r="H298" s="50"/>
      <c r="I298" s="50"/>
      <c r="J298" s="26" t="s">
        <v>837</v>
      </c>
      <c r="K298" s="18"/>
    </row>
    <row r="299" spans="1:11" ht="15" customHeight="1" x14ac:dyDescent="0.35">
      <c r="A299" s="47">
        <v>99</v>
      </c>
      <c r="B299" s="47" t="s">
        <v>838</v>
      </c>
      <c r="C299" s="48" t="s">
        <v>839</v>
      </c>
      <c r="D299" s="8" t="s">
        <v>840</v>
      </c>
      <c r="E299" s="4" t="s">
        <v>16</v>
      </c>
      <c r="F299" s="48" t="s">
        <v>17</v>
      </c>
      <c r="G299" s="4" t="s">
        <v>30</v>
      </c>
      <c r="H299" s="47" t="s">
        <v>31</v>
      </c>
      <c r="I299" s="49" t="s">
        <v>20</v>
      </c>
      <c r="J299" s="9" t="s">
        <v>841</v>
      </c>
      <c r="K299" s="10"/>
    </row>
    <row r="300" spans="1:11" x14ac:dyDescent="0.35">
      <c r="A300" s="47"/>
      <c r="B300" s="47"/>
      <c r="C300" s="47"/>
      <c r="D300" s="11" t="s">
        <v>842</v>
      </c>
      <c r="E300" s="12" t="s">
        <v>23</v>
      </c>
      <c r="F300" s="48"/>
      <c r="G300" s="12" t="s">
        <v>42</v>
      </c>
      <c r="H300" s="47"/>
      <c r="I300" s="47"/>
      <c r="J300" s="13" t="s">
        <v>843</v>
      </c>
      <c r="K300" s="14"/>
    </row>
    <row r="301" spans="1:11" x14ac:dyDescent="0.35">
      <c r="A301" s="47"/>
      <c r="B301" s="47"/>
      <c r="C301" s="47"/>
      <c r="D301" s="15" t="s">
        <v>844</v>
      </c>
      <c r="E301" s="16" t="s">
        <v>23</v>
      </c>
      <c r="F301" s="48"/>
      <c r="G301" s="16" t="s">
        <v>42</v>
      </c>
      <c r="H301" s="47"/>
      <c r="I301" s="47"/>
      <c r="J301" s="17" t="s">
        <v>845</v>
      </c>
      <c r="K301" s="18"/>
    </row>
    <row r="302" spans="1:11" ht="15" customHeight="1" x14ac:dyDescent="0.35">
      <c r="A302" s="50">
        <v>100</v>
      </c>
      <c r="B302" s="50" t="s">
        <v>846</v>
      </c>
      <c r="C302" s="51" t="s">
        <v>847</v>
      </c>
      <c r="D302" s="19" t="s">
        <v>848</v>
      </c>
      <c r="E302" s="2" t="s">
        <v>16</v>
      </c>
      <c r="F302" s="51" t="s">
        <v>17</v>
      </c>
      <c r="G302" s="50" t="s">
        <v>42</v>
      </c>
      <c r="H302" s="50" t="s">
        <v>31</v>
      </c>
      <c r="I302" s="52" t="s">
        <v>20</v>
      </c>
      <c r="J302" s="20" t="s">
        <v>849</v>
      </c>
      <c r="K302" s="10"/>
    </row>
    <row r="303" spans="1:11" x14ac:dyDescent="0.35">
      <c r="A303" s="50"/>
      <c r="B303" s="50"/>
      <c r="C303" s="50"/>
      <c r="D303" s="21" t="s">
        <v>850</v>
      </c>
      <c r="E303" s="22" t="s">
        <v>23</v>
      </c>
      <c r="F303" s="51"/>
      <c r="G303" s="51"/>
      <c r="H303" s="51"/>
      <c r="I303" s="51"/>
      <c r="J303" s="23" t="s">
        <v>851</v>
      </c>
      <c r="K303" s="14"/>
    </row>
    <row r="304" spans="1:11" x14ac:dyDescent="0.35">
      <c r="A304" s="50"/>
      <c r="B304" s="50"/>
      <c r="C304" s="50"/>
      <c r="D304" s="24" t="s">
        <v>852</v>
      </c>
      <c r="E304" s="25" t="s">
        <v>23</v>
      </c>
      <c r="F304" s="51"/>
      <c r="G304" s="51"/>
      <c r="H304" s="51"/>
      <c r="I304" s="51"/>
      <c r="J304" s="26" t="s">
        <v>853</v>
      </c>
      <c r="K304" s="18"/>
    </row>
    <row r="305" spans="1:11" ht="15" customHeight="1" x14ac:dyDescent="0.35">
      <c r="A305" s="47">
        <v>101</v>
      </c>
      <c r="B305" s="47" t="s">
        <v>854</v>
      </c>
      <c r="C305" s="48" t="s">
        <v>855</v>
      </c>
      <c r="D305" s="8" t="s">
        <v>856</v>
      </c>
      <c r="E305" s="4" t="s">
        <v>16</v>
      </c>
      <c r="F305" s="48" t="s">
        <v>17</v>
      </c>
      <c r="G305" s="47" t="s">
        <v>30</v>
      </c>
      <c r="H305" s="47" t="s">
        <v>55</v>
      </c>
      <c r="I305" s="49" t="s">
        <v>20</v>
      </c>
      <c r="J305" s="9" t="s">
        <v>857</v>
      </c>
      <c r="K305" s="10"/>
    </row>
    <row r="306" spans="1:11" x14ac:dyDescent="0.35">
      <c r="A306" s="47"/>
      <c r="B306" s="47"/>
      <c r="C306" s="47"/>
      <c r="D306" s="11" t="s">
        <v>858</v>
      </c>
      <c r="E306" s="12" t="s">
        <v>23</v>
      </c>
      <c r="F306" s="48"/>
      <c r="G306" s="48"/>
      <c r="H306" s="48"/>
      <c r="I306" s="48"/>
      <c r="J306" s="13" t="s">
        <v>859</v>
      </c>
      <c r="K306" s="14"/>
    </row>
    <row r="307" spans="1:11" x14ac:dyDescent="0.35">
      <c r="A307" s="47"/>
      <c r="B307" s="47"/>
      <c r="C307" s="47"/>
      <c r="D307" s="15" t="s">
        <v>860</v>
      </c>
      <c r="E307" s="16" t="s">
        <v>23</v>
      </c>
      <c r="F307" s="48"/>
      <c r="G307" s="48"/>
      <c r="H307" s="48"/>
      <c r="I307" s="48"/>
      <c r="J307" s="17" t="s">
        <v>861</v>
      </c>
      <c r="K307" s="18"/>
    </row>
    <row r="308" spans="1:11" ht="23.9" customHeight="1" x14ac:dyDescent="0.35">
      <c r="A308" s="50">
        <v>102</v>
      </c>
      <c r="B308" s="50" t="s">
        <v>862</v>
      </c>
      <c r="C308" s="51" t="s">
        <v>863</v>
      </c>
      <c r="D308" s="19" t="s">
        <v>864</v>
      </c>
      <c r="E308" s="2" t="s">
        <v>16</v>
      </c>
      <c r="F308" s="1" t="s">
        <v>192</v>
      </c>
      <c r="G308" s="2" t="s">
        <v>324</v>
      </c>
      <c r="H308" s="50" t="s">
        <v>55</v>
      </c>
      <c r="I308" s="52" t="s">
        <v>20</v>
      </c>
      <c r="J308" s="20" t="s">
        <v>865</v>
      </c>
      <c r="K308" s="10"/>
    </row>
    <row r="309" spans="1:11" x14ac:dyDescent="0.35">
      <c r="A309" s="50"/>
      <c r="B309" s="50"/>
      <c r="C309" s="50"/>
      <c r="D309" s="21" t="s">
        <v>866</v>
      </c>
      <c r="E309" s="22" t="s">
        <v>23</v>
      </c>
      <c r="F309" s="21" t="s">
        <v>17</v>
      </c>
      <c r="G309" s="22" t="s">
        <v>30</v>
      </c>
      <c r="H309" s="50"/>
      <c r="I309" s="50"/>
      <c r="J309" s="23" t="s">
        <v>867</v>
      </c>
      <c r="K309" s="14"/>
    </row>
    <row r="310" spans="1:11" x14ac:dyDescent="0.35">
      <c r="A310" s="50"/>
      <c r="B310" s="50"/>
      <c r="C310" s="50"/>
      <c r="D310" s="24" t="s">
        <v>868</v>
      </c>
      <c r="E310" s="25" t="s">
        <v>23</v>
      </c>
      <c r="F310" s="24" t="s">
        <v>17</v>
      </c>
      <c r="G310" s="25" t="s">
        <v>37</v>
      </c>
      <c r="H310" s="50"/>
      <c r="I310" s="50"/>
      <c r="J310" s="26" t="s">
        <v>869</v>
      </c>
      <c r="K310" s="18"/>
    </row>
    <row r="311" spans="1:11" ht="15" customHeight="1" x14ac:dyDescent="0.35">
      <c r="A311" s="47">
        <v>103</v>
      </c>
      <c r="B311" s="47" t="s">
        <v>870</v>
      </c>
      <c r="C311" s="48" t="s">
        <v>871</v>
      </c>
      <c r="D311" s="8" t="s">
        <v>872</v>
      </c>
      <c r="E311" s="4" t="s">
        <v>16</v>
      </c>
      <c r="F311" s="48" t="s">
        <v>17</v>
      </c>
      <c r="G311" s="47" t="s">
        <v>30</v>
      </c>
      <c r="H311" s="47" t="s">
        <v>55</v>
      </c>
      <c r="I311" s="49" t="s">
        <v>20</v>
      </c>
      <c r="J311" s="9" t="s">
        <v>873</v>
      </c>
      <c r="K311" s="10"/>
    </row>
    <row r="312" spans="1:11" x14ac:dyDescent="0.35">
      <c r="A312" s="47"/>
      <c r="B312" s="47"/>
      <c r="C312" s="47"/>
      <c r="D312" s="11" t="s">
        <v>874</v>
      </c>
      <c r="E312" s="12" t="s">
        <v>23</v>
      </c>
      <c r="F312" s="48"/>
      <c r="G312" s="48"/>
      <c r="H312" s="48"/>
      <c r="I312" s="48"/>
      <c r="J312" s="13" t="s">
        <v>875</v>
      </c>
      <c r="K312" s="14"/>
    </row>
    <row r="313" spans="1:11" x14ac:dyDescent="0.35">
      <c r="A313" s="47"/>
      <c r="B313" s="47"/>
      <c r="C313" s="47"/>
      <c r="D313" s="15" t="s">
        <v>876</v>
      </c>
      <c r="E313" s="16" t="s">
        <v>23</v>
      </c>
      <c r="F313" s="48"/>
      <c r="G313" s="48"/>
      <c r="H313" s="48"/>
      <c r="I313" s="48"/>
      <c r="J313" s="17" t="s">
        <v>877</v>
      </c>
      <c r="K313" s="18"/>
    </row>
    <row r="314" spans="1:11" ht="23.9" customHeight="1" x14ac:dyDescent="0.35">
      <c r="A314" s="50">
        <v>104</v>
      </c>
      <c r="B314" s="50" t="s">
        <v>878</v>
      </c>
      <c r="C314" s="51" t="s">
        <v>879</v>
      </c>
      <c r="D314" s="19" t="s">
        <v>880</v>
      </c>
      <c r="E314" s="2" t="s">
        <v>16</v>
      </c>
      <c r="F314" s="51" t="s">
        <v>438</v>
      </c>
      <c r="G314" s="50" t="s">
        <v>294</v>
      </c>
      <c r="H314" s="50" t="s">
        <v>55</v>
      </c>
      <c r="I314" s="52" t="s">
        <v>20</v>
      </c>
      <c r="J314" s="20" t="s">
        <v>881</v>
      </c>
      <c r="K314" s="10"/>
    </row>
    <row r="315" spans="1:11" x14ac:dyDescent="0.35">
      <c r="A315" s="50"/>
      <c r="B315" s="50"/>
      <c r="C315" s="50"/>
      <c r="D315" s="21" t="s">
        <v>882</v>
      </c>
      <c r="E315" s="22" t="s">
        <v>23</v>
      </c>
      <c r="F315" s="51"/>
      <c r="G315" s="51"/>
      <c r="H315" s="51"/>
      <c r="I315" s="51"/>
      <c r="J315" s="23" t="s">
        <v>883</v>
      </c>
      <c r="K315" s="14"/>
    </row>
    <row r="316" spans="1:11" x14ac:dyDescent="0.35">
      <c r="A316" s="50"/>
      <c r="B316" s="50"/>
      <c r="C316" s="50"/>
      <c r="D316" s="24" t="s">
        <v>884</v>
      </c>
      <c r="E316" s="25" t="s">
        <v>23</v>
      </c>
      <c r="F316" s="51"/>
      <c r="G316" s="51"/>
      <c r="H316" s="51"/>
      <c r="I316" s="51"/>
      <c r="J316" s="26" t="s">
        <v>885</v>
      </c>
      <c r="K316" s="18"/>
    </row>
    <row r="317" spans="1:11" ht="15" customHeight="1" x14ac:dyDescent="0.35">
      <c r="A317" s="47">
        <v>105</v>
      </c>
      <c r="B317" s="47" t="s">
        <v>886</v>
      </c>
      <c r="C317" s="48" t="s">
        <v>887</v>
      </c>
      <c r="D317" s="8" t="s">
        <v>888</v>
      </c>
      <c r="E317" s="4" t="s">
        <v>16</v>
      </c>
      <c r="F317" s="48" t="s">
        <v>17</v>
      </c>
      <c r="G317" s="47" t="s">
        <v>92</v>
      </c>
      <c r="H317" s="47" t="s">
        <v>55</v>
      </c>
      <c r="I317" s="49" t="s">
        <v>20</v>
      </c>
      <c r="J317" s="9" t="s">
        <v>889</v>
      </c>
      <c r="K317" s="10"/>
    </row>
    <row r="318" spans="1:11" x14ac:dyDescent="0.35">
      <c r="A318" s="47"/>
      <c r="B318" s="47"/>
      <c r="C318" s="47"/>
      <c r="D318" s="11" t="s">
        <v>890</v>
      </c>
      <c r="E318" s="12" t="s">
        <v>23</v>
      </c>
      <c r="F318" s="48"/>
      <c r="G318" s="48"/>
      <c r="H318" s="48"/>
      <c r="I318" s="48"/>
      <c r="J318" s="13" t="s">
        <v>891</v>
      </c>
      <c r="K318" s="14"/>
    </row>
    <row r="319" spans="1:11" x14ac:dyDescent="0.35">
      <c r="A319" s="47"/>
      <c r="B319" s="47"/>
      <c r="C319" s="47"/>
      <c r="D319" s="15" t="s">
        <v>892</v>
      </c>
      <c r="E319" s="16" t="s">
        <v>23</v>
      </c>
      <c r="F319" s="48"/>
      <c r="G319" s="48"/>
      <c r="H319" s="48"/>
      <c r="I319" s="48"/>
      <c r="J319" s="17" t="s">
        <v>893</v>
      </c>
      <c r="K319" s="18"/>
    </row>
    <row r="320" spans="1:11" ht="23.9" customHeight="1" x14ac:dyDescent="0.35">
      <c r="A320" s="50">
        <v>106</v>
      </c>
      <c r="B320" s="50" t="s">
        <v>894</v>
      </c>
      <c r="C320" s="51" t="s">
        <v>895</v>
      </c>
      <c r="D320" s="19" t="s">
        <v>896</v>
      </c>
      <c r="E320" s="2" t="s">
        <v>16</v>
      </c>
      <c r="F320" s="1" t="s">
        <v>897</v>
      </c>
      <c r="G320" s="50" t="s">
        <v>92</v>
      </c>
      <c r="H320" s="2" t="s">
        <v>55</v>
      </c>
      <c r="I320" s="52" t="s">
        <v>20</v>
      </c>
      <c r="J320" s="20" t="s">
        <v>898</v>
      </c>
      <c r="K320" s="10"/>
    </row>
    <row r="321" spans="1:11" ht="25" x14ac:dyDescent="0.35">
      <c r="A321" s="50"/>
      <c r="B321" s="50"/>
      <c r="C321" s="50"/>
      <c r="D321" s="21" t="s">
        <v>899</v>
      </c>
      <c r="E321" s="22" t="s">
        <v>23</v>
      </c>
      <c r="F321" s="21" t="s">
        <v>371</v>
      </c>
      <c r="G321" s="50"/>
      <c r="H321" s="22" t="s">
        <v>31</v>
      </c>
      <c r="I321" s="52"/>
      <c r="J321" s="23" t="s">
        <v>900</v>
      </c>
      <c r="K321" s="14"/>
    </row>
    <row r="322" spans="1:11" ht="25" x14ac:dyDescent="0.35">
      <c r="A322" s="50"/>
      <c r="B322" s="50"/>
      <c r="C322" s="50"/>
      <c r="D322" s="24" t="s">
        <v>901</v>
      </c>
      <c r="E322" s="25" t="s">
        <v>23</v>
      </c>
      <c r="F322" s="24" t="s">
        <v>371</v>
      </c>
      <c r="G322" s="50"/>
      <c r="H322" s="25" t="s">
        <v>31</v>
      </c>
      <c r="I322" s="52"/>
      <c r="J322" s="26" t="s">
        <v>902</v>
      </c>
      <c r="K322" s="18"/>
    </row>
    <row r="323" spans="1:11" ht="15" customHeight="1" x14ac:dyDescent="0.35">
      <c r="A323" s="47">
        <v>107</v>
      </c>
      <c r="B323" s="47" t="s">
        <v>903</v>
      </c>
      <c r="C323" s="48" t="s">
        <v>904</v>
      </c>
      <c r="D323" s="8" t="s">
        <v>905</v>
      </c>
      <c r="E323" s="4" t="s">
        <v>16</v>
      </c>
      <c r="F323" s="48" t="s">
        <v>17</v>
      </c>
      <c r="G323" s="4" t="s">
        <v>92</v>
      </c>
      <c r="H323" s="4" t="s">
        <v>31</v>
      </c>
      <c r="I323" s="49" t="s">
        <v>20</v>
      </c>
      <c r="J323" s="9" t="s">
        <v>906</v>
      </c>
      <c r="K323" s="10"/>
    </row>
    <row r="324" spans="1:11" x14ac:dyDescent="0.35">
      <c r="A324" s="47"/>
      <c r="B324" s="47"/>
      <c r="C324" s="47"/>
      <c r="D324" s="11" t="s">
        <v>907</v>
      </c>
      <c r="E324" s="12" t="s">
        <v>23</v>
      </c>
      <c r="F324" s="48"/>
      <c r="G324" s="12" t="s">
        <v>42</v>
      </c>
      <c r="H324" s="12" t="s">
        <v>31</v>
      </c>
      <c r="I324" s="49"/>
      <c r="J324" s="13" t="s">
        <v>908</v>
      </c>
      <c r="K324" s="14"/>
    </row>
    <row r="325" spans="1:11" x14ac:dyDescent="0.35">
      <c r="A325" s="47"/>
      <c r="B325" s="47"/>
      <c r="C325" s="47"/>
      <c r="D325" s="15" t="s">
        <v>909</v>
      </c>
      <c r="E325" s="16" t="s">
        <v>23</v>
      </c>
      <c r="F325" s="48"/>
      <c r="G325" s="16" t="s">
        <v>42</v>
      </c>
      <c r="H325" s="16" t="s">
        <v>55</v>
      </c>
      <c r="I325" s="49"/>
      <c r="J325" s="17" t="s">
        <v>910</v>
      </c>
      <c r="K325" s="18"/>
    </row>
    <row r="326" spans="1:11" ht="15" customHeight="1" x14ac:dyDescent="0.35">
      <c r="A326" s="50">
        <v>108</v>
      </c>
      <c r="B326" s="50" t="s">
        <v>911</v>
      </c>
      <c r="C326" s="51" t="s">
        <v>912</v>
      </c>
      <c r="D326" s="19" t="s">
        <v>913</v>
      </c>
      <c r="E326" s="2" t="s">
        <v>16</v>
      </c>
      <c r="F326" s="51" t="s">
        <v>914</v>
      </c>
      <c r="G326" s="2" t="s">
        <v>294</v>
      </c>
      <c r="H326" s="50" t="s">
        <v>19</v>
      </c>
      <c r="I326" s="52" t="s">
        <v>20</v>
      </c>
      <c r="J326" s="20" t="s">
        <v>915</v>
      </c>
      <c r="K326" s="10"/>
    </row>
    <row r="327" spans="1:11" x14ac:dyDescent="0.35">
      <c r="A327" s="50"/>
      <c r="B327" s="50"/>
      <c r="C327" s="50"/>
      <c r="D327" s="21" t="s">
        <v>916</v>
      </c>
      <c r="E327" s="22" t="s">
        <v>23</v>
      </c>
      <c r="F327" s="51"/>
      <c r="G327" s="22" t="s">
        <v>294</v>
      </c>
      <c r="H327" s="50"/>
      <c r="I327" s="50"/>
      <c r="J327" s="23" t="s">
        <v>917</v>
      </c>
      <c r="K327" s="14"/>
    </row>
    <row r="328" spans="1:11" x14ac:dyDescent="0.35">
      <c r="A328" s="50"/>
      <c r="B328" s="50"/>
      <c r="C328" s="50"/>
      <c r="D328" s="24" t="s">
        <v>918</v>
      </c>
      <c r="E328" s="25" t="s">
        <v>23</v>
      </c>
      <c r="F328" s="51"/>
      <c r="G328" s="25" t="s">
        <v>300</v>
      </c>
      <c r="H328" s="50"/>
      <c r="I328" s="50"/>
      <c r="J328" s="26" t="s">
        <v>919</v>
      </c>
      <c r="K328" s="18"/>
    </row>
    <row r="329" spans="1:11" ht="15" customHeight="1" x14ac:dyDescent="0.35">
      <c r="A329" s="47">
        <v>109</v>
      </c>
      <c r="B329" s="47" t="s">
        <v>920</v>
      </c>
      <c r="C329" s="48" t="s">
        <v>921</v>
      </c>
      <c r="D329" s="8" t="s">
        <v>922</v>
      </c>
      <c r="E329" s="4" t="s">
        <v>16</v>
      </c>
      <c r="F329" s="48" t="s">
        <v>17</v>
      </c>
      <c r="G329" s="47" t="s">
        <v>92</v>
      </c>
      <c r="H329" s="47" t="s">
        <v>55</v>
      </c>
      <c r="I329" s="49" t="s">
        <v>20</v>
      </c>
      <c r="J329" s="9" t="s">
        <v>923</v>
      </c>
      <c r="K329" s="10"/>
    </row>
    <row r="330" spans="1:11" x14ac:dyDescent="0.35">
      <c r="A330" s="47"/>
      <c r="B330" s="47"/>
      <c r="C330" s="47"/>
      <c r="D330" s="11" t="s">
        <v>924</v>
      </c>
      <c r="E330" s="12" t="s">
        <v>23</v>
      </c>
      <c r="F330" s="48"/>
      <c r="G330" s="48"/>
      <c r="H330" s="48"/>
      <c r="I330" s="48"/>
      <c r="J330" s="13" t="s">
        <v>925</v>
      </c>
      <c r="K330" s="14"/>
    </row>
    <row r="331" spans="1:11" x14ac:dyDescent="0.35">
      <c r="A331" s="47"/>
      <c r="B331" s="47"/>
      <c r="C331" s="47"/>
      <c r="D331" s="15" t="s">
        <v>926</v>
      </c>
      <c r="E331" s="16" t="s">
        <v>23</v>
      </c>
      <c r="F331" s="48"/>
      <c r="G331" s="48"/>
      <c r="H331" s="48"/>
      <c r="I331" s="48"/>
      <c r="J331" s="17" t="s">
        <v>927</v>
      </c>
      <c r="K331" s="18"/>
    </row>
    <row r="332" spans="1:11" ht="15" customHeight="1" x14ac:dyDescent="0.35">
      <c r="A332" s="50">
        <v>110</v>
      </c>
      <c r="B332" s="50" t="s">
        <v>928</v>
      </c>
      <c r="C332" s="51" t="s">
        <v>929</v>
      </c>
      <c r="D332" s="19" t="s">
        <v>930</v>
      </c>
      <c r="E332" s="2" t="s">
        <v>16</v>
      </c>
      <c r="F332" s="51" t="s">
        <v>17</v>
      </c>
      <c r="G332" s="50" t="s">
        <v>42</v>
      </c>
      <c r="H332" s="50" t="s">
        <v>31</v>
      </c>
      <c r="I332" s="52" t="s">
        <v>20</v>
      </c>
      <c r="J332" s="20" t="s">
        <v>931</v>
      </c>
      <c r="K332" s="10"/>
    </row>
    <row r="333" spans="1:11" x14ac:dyDescent="0.35">
      <c r="A333" s="50"/>
      <c r="B333" s="50"/>
      <c r="C333" s="50"/>
      <c r="D333" s="21" t="s">
        <v>932</v>
      </c>
      <c r="E333" s="22" t="s">
        <v>23</v>
      </c>
      <c r="F333" s="51"/>
      <c r="G333" s="51"/>
      <c r="H333" s="51"/>
      <c r="I333" s="51"/>
      <c r="J333" s="23" t="s">
        <v>933</v>
      </c>
      <c r="K333" s="14"/>
    </row>
    <row r="334" spans="1:11" x14ac:dyDescent="0.35">
      <c r="A334" s="50"/>
      <c r="B334" s="50"/>
      <c r="C334" s="50"/>
      <c r="D334" s="24" t="s">
        <v>934</v>
      </c>
      <c r="E334" s="25" t="s">
        <v>23</v>
      </c>
      <c r="F334" s="51"/>
      <c r="G334" s="51"/>
      <c r="H334" s="51"/>
      <c r="I334" s="51"/>
      <c r="J334" s="26" t="s">
        <v>935</v>
      </c>
      <c r="K334" s="18"/>
    </row>
    <row r="335" spans="1:11" ht="15" customHeight="1" x14ac:dyDescent="0.35">
      <c r="A335" s="47">
        <v>111</v>
      </c>
      <c r="B335" s="47" t="s">
        <v>936</v>
      </c>
      <c r="C335" s="48" t="s">
        <v>937</v>
      </c>
      <c r="D335" s="8" t="s">
        <v>938</v>
      </c>
      <c r="E335" s="4" t="s">
        <v>16</v>
      </c>
      <c r="F335" s="48" t="s">
        <v>133</v>
      </c>
      <c r="G335" s="47" t="s">
        <v>92</v>
      </c>
      <c r="H335" s="47" t="s">
        <v>55</v>
      </c>
      <c r="I335" s="49" t="s">
        <v>20</v>
      </c>
      <c r="J335" s="9" t="s">
        <v>939</v>
      </c>
      <c r="K335" s="10"/>
    </row>
    <row r="336" spans="1:11" x14ac:dyDescent="0.35">
      <c r="A336" s="47"/>
      <c r="B336" s="47"/>
      <c r="C336" s="47"/>
      <c r="D336" s="11" t="s">
        <v>940</v>
      </c>
      <c r="E336" s="12" t="s">
        <v>23</v>
      </c>
      <c r="F336" s="48"/>
      <c r="G336" s="48"/>
      <c r="H336" s="48"/>
      <c r="I336" s="48"/>
      <c r="J336" s="13" t="s">
        <v>941</v>
      </c>
      <c r="K336" s="14"/>
    </row>
    <row r="337" spans="1:11" x14ac:dyDescent="0.35">
      <c r="A337" s="47"/>
      <c r="B337" s="47"/>
      <c r="C337" s="47"/>
      <c r="D337" s="15" t="s">
        <v>942</v>
      </c>
      <c r="E337" s="16" t="s">
        <v>23</v>
      </c>
      <c r="F337" s="48"/>
      <c r="G337" s="48"/>
      <c r="H337" s="48"/>
      <c r="I337" s="48"/>
      <c r="J337" s="17" t="s">
        <v>943</v>
      </c>
      <c r="K337" s="18"/>
    </row>
    <row r="338" spans="1:11" ht="15" customHeight="1" x14ac:dyDescent="0.35">
      <c r="A338" s="50">
        <v>112</v>
      </c>
      <c r="B338" s="50" t="s">
        <v>944</v>
      </c>
      <c r="C338" s="51" t="s">
        <v>945</v>
      </c>
      <c r="D338" s="19" t="s">
        <v>946</v>
      </c>
      <c r="E338" s="2" t="s">
        <v>16</v>
      </c>
      <c r="F338" s="51" t="s">
        <v>218</v>
      </c>
      <c r="G338" s="2" t="s">
        <v>42</v>
      </c>
      <c r="H338" s="50" t="s">
        <v>55</v>
      </c>
      <c r="I338" s="52" t="s">
        <v>20</v>
      </c>
      <c r="J338" s="20" t="s">
        <v>947</v>
      </c>
      <c r="K338" s="10"/>
    </row>
    <row r="339" spans="1:11" x14ac:dyDescent="0.35">
      <c r="A339" s="50"/>
      <c r="B339" s="50"/>
      <c r="C339" s="50"/>
      <c r="D339" s="21" t="s">
        <v>948</v>
      </c>
      <c r="E339" s="22" t="s">
        <v>23</v>
      </c>
      <c r="F339" s="51"/>
      <c r="G339" s="22" t="s">
        <v>42</v>
      </c>
      <c r="H339" s="50"/>
      <c r="I339" s="50"/>
      <c r="J339" s="23" t="s">
        <v>949</v>
      </c>
      <c r="K339" s="14"/>
    </row>
    <row r="340" spans="1:11" x14ac:dyDescent="0.35">
      <c r="A340" s="50"/>
      <c r="B340" s="50"/>
      <c r="C340" s="50"/>
      <c r="D340" s="24" t="s">
        <v>950</v>
      </c>
      <c r="E340" s="25" t="s">
        <v>23</v>
      </c>
      <c r="F340" s="51"/>
      <c r="G340" s="25" t="s">
        <v>30</v>
      </c>
      <c r="H340" s="50"/>
      <c r="I340" s="50"/>
      <c r="J340" s="26" t="s">
        <v>951</v>
      </c>
      <c r="K340" s="18"/>
    </row>
    <row r="341" spans="1:11" ht="15" customHeight="1" x14ac:dyDescent="0.35">
      <c r="A341" s="47">
        <v>113</v>
      </c>
      <c r="B341" s="47" t="s">
        <v>952</v>
      </c>
      <c r="C341" s="48" t="s">
        <v>953</v>
      </c>
      <c r="D341" s="8" t="s">
        <v>954</v>
      </c>
      <c r="E341" s="4" t="s">
        <v>16</v>
      </c>
      <c r="F341" s="3" t="s">
        <v>17</v>
      </c>
      <c r="G341" s="47" t="s">
        <v>92</v>
      </c>
      <c r="H341" s="47" t="s">
        <v>31</v>
      </c>
      <c r="I341" s="49" t="s">
        <v>20</v>
      </c>
      <c r="J341" s="9" t="s">
        <v>955</v>
      </c>
      <c r="K341" s="10"/>
    </row>
    <row r="342" spans="1:11" x14ac:dyDescent="0.35">
      <c r="A342" s="47"/>
      <c r="B342" s="47"/>
      <c r="C342" s="47"/>
      <c r="D342" s="11" t="s">
        <v>956</v>
      </c>
      <c r="E342" s="12" t="s">
        <v>23</v>
      </c>
      <c r="F342" s="11" t="s">
        <v>17</v>
      </c>
      <c r="G342" s="47"/>
      <c r="H342" s="47"/>
      <c r="I342" s="47"/>
      <c r="J342" s="13" t="s">
        <v>957</v>
      </c>
      <c r="K342" s="14"/>
    </row>
    <row r="343" spans="1:11" x14ac:dyDescent="0.35">
      <c r="A343" s="47"/>
      <c r="B343" s="47"/>
      <c r="C343" s="47"/>
      <c r="D343" s="15" t="s">
        <v>958</v>
      </c>
      <c r="E343" s="16" t="s">
        <v>23</v>
      </c>
      <c r="F343" s="15" t="s">
        <v>959</v>
      </c>
      <c r="G343" s="47"/>
      <c r="H343" s="47"/>
      <c r="I343" s="47"/>
      <c r="J343" s="17" t="s">
        <v>960</v>
      </c>
      <c r="K343" s="18"/>
    </row>
    <row r="344" spans="1:11" ht="15" customHeight="1" x14ac:dyDescent="0.35">
      <c r="A344" s="50">
        <v>114</v>
      </c>
      <c r="B344" s="50" t="s">
        <v>961</v>
      </c>
      <c r="C344" s="51" t="s">
        <v>962</v>
      </c>
      <c r="D344" s="19" t="s">
        <v>963</v>
      </c>
      <c r="E344" s="2" t="s">
        <v>16</v>
      </c>
      <c r="F344" s="51" t="s">
        <v>17</v>
      </c>
      <c r="G344" s="2" t="s">
        <v>18</v>
      </c>
      <c r="H344" s="50" t="s">
        <v>55</v>
      </c>
      <c r="I344" s="52" t="s">
        <v>20</v>
      </c>
      <c r="J344" s="20" t="s">
        <v>964</v>
      </c>
      <c r="K344" s="10"/>
    </row>
    <row r="345" spans="1:11" x14ac:dyDescent="0.35">
      <c r="A345" s="50"/>
      <c r="B345" s="50"/>
      <c r="C345" s="50"/>
      <c r="D345" s="21" t="s">
        <v>965</v>
      </c>
      <c r="E345" s="22" t="s">
        <v>23</v>
      </c>
      <c r="F345" s="51"/>
      <c r="G345" s="22" t="s">
        <v>18</v>
      </c>
      <c r="H345" s="50"/>
      <c r="I345" s="50"/>
      <c r="J345" s="23" t="s">
        <v>966</v>
      </c>
      <c r="K345" s="14"/>
    </row>
    <row r="346" spans="1:11" x14ac:dyDescent="0.35">
      <c r="A346" s="50"/>
      <c r="B346" s="50"/>
      <c r="C346" s="50"/>
      <c r="D346" s="24" t="s">
        <v>967</v>
      </c>
      <c r="E346" s="25" t="s">
        <v>23</v>
      </c>
      <c r="F346" s="51"/>
      <c r="G346" s="25" t="s">
        <v>30</v>
      </c>
      <c r="H346" s="50"/>
      <c r="I346" s="50"/>
      <c r="J346" s="26" t="s">
        <v>968</v>
      </c>
      <c r="K346" s="18"/>
    </row>
    <row r="347" spans="1:11" ht="15" customHeight="1" x14ac:dyDescent="0.35">
      <c r="A347" s="47">
        <v>115</v>
      </c>
      <c r="B347" s="47" t="s">
        <v>969</v>
      </c>
      <c r="C347" s="48" t="s">
        <v>970</v>
      </c>
      <c r="D347" s="8" t="s">
        <v>971</v>
      </c>
      <c r="E347" s="4" t="s">
        <v>16</v>
      </c>
      <c r="F347" s="48" t="s">
        <v>234</v>
      </c>
      <c r="G347" s="47" t="s">
        <v>294</v>
      </c>
      <c r="H347" s="47" t="s">
        <v>55</v>
      </c>
      <c r="I347" s="49" t="s">
        <v>20</v>
      </c>
      <c r="J347" s="9" t="s">
        <v>972</v>
      </c>
      <c r="K347" s="10"/>
    </row>
    <row r="348" spans="1:11" x14ac:dyDescent="0.35">
      <c r="A348" s="47"/>
      <c r="B348" s="47"/>
      <c r="C348" s="47"/>
      <c r="D348" s="11" t="s">
        <v>973</v>
      </c>
      <c r="E348" s="12" t="s">
        <v>23</v>
      </c>
      <c r="F348" s="48"/>
      <c r="G348" s="48"/>
      <c r="H348" s="48"/>
      <c r="I348" s="48"/>
      <c r="J348" s="13" t="s">
        <v>974</v>
      </c>
      <c r="K348" s="14"/>
    </row>
    <row r="349" spans="1:11" x14ac:dyDescent="0.35">
      <c r="A349" s="47"/>
      <c r="B349" s="47"/>
      <c r="C349" s="47"/>
      <c r="D349" s="15" t="s">
        <v>975</v>
      </c>
      <c r="E349" s="16" t="s">
        <v>23</v>
      </c>
      <c r="F349" s="48"/>
      <c r="G349" s="48"/>
      <c r="H349" s="48"/>
      <c r="I349" s="48"/>
      <c r="J349" s="17" t="s">
        <v>976</v>
      </c>
      <c r="K349" s="18"/>
    </row>
    <row r="350" spans="1:11" ht="15" customHeight="1" x14ac:dyDescent="0.35">
      <c r="A350" s="50">
        <v>116</v>
      </c>
      <c r="B350" s="50" t="s">
        <v>977</v>
      </c>
      <c r="C350" s="51" t="s">
        <v>978</v>
      </c>
      <c r="D350" s="19" t="s">
        <v>979</v>
      </c>
      <c r="E350" s="2" t="s">
        <v>16</v>
      </c>
      <c r="F350" s="1" t="s">
        <v>586</v>
      </c>
      <c r="G350" s="2" t="s">
        <v>30</v>
      </c>
      <c r="H350" s="50" t="s">
        <v>55</v>
      </c>
      <c r="I350" s="52" t="s">
        <v>20</v>
      </c>
      <c r="J350" s="20" t="s">
        <v>980</v>
      </c>
      <c r="K350" s="10"/>
    </row>
    <row r="351" spans="1:11" x14ac:dyDescent="0.35">
      <c r="A351" s="50"/>
      <c r="B351" s="50"/>
      <c r="C351" s="50"/>
      <c r="D351" s="21" t="s">
        <v>981</v>
      </c>
      <c r="E351" s="22" t="s">
        <v>23</v>
      </c>
      <c r="F351" s="21" t="s">
        <v>982</v>
      </c>
      <c r="G351" s="22" t="s">
        <v>42</v>
      </c>
      <c r="H351" s="50"/>
      <c r="I351" s="50"/>
      <c r="J351" s="23" t="s">
        <v>983</v>
      </c>
      <c r="K351" s="14"/>
    </row>
    <row r="352" spans="1:11" x14ac:dyDescent="0.35">
      <c r="A352" s="50"/>
      <c r="B352" s="50"/>
      <c r="C352" s="50"/>
      <c r="D352" s="24" t="s">
        <v>984</v>
      </c>
      <c r="E352" s="25" t="s">
        <v>23</v>
      </c>
      <c r="F352" s="24" t="s">
        <v>133</v>
      </c>
      <c r="G352" s="25" t="s">
        <v>30</v>
      </c>
      <c r="H352" s="50"/>
      <c r="I352" s="50"/>
      <c r="J352" s="26" t="s">
        <v>985</v>
      </c>
      <c r="K352" s="18"/>
    </row>
    <row r="353" spans="1:11" ht="15" customHeight="1" x14ac:dyDescent="0.35">
      <c r="A353" s="47">
        <v>117</v>
      </c>
      <c r="B353" s="47" t="s">
        <v>986</v>
      </c>
      <c r="C353" s="48" t="s">
        <v>987</v>
      </c>
      <c r="D353" s="8" t="s">
        <v>988</v>
      </c>
      <c r="E353" s="4" t="s">
        <v>16</v>
      </c>
      <c r="F353" s="48" t="s">
        <v>293</v>
      </c>
      <c r="G353" s="47" t="s">
        <v>42</v>
      </c>
      <c r="H353" s="47" t="s">
        <v>31</v>
      </c>
      <c r="I353" s="49" t="s">
        <v>20</v>
      </c>
      <c r="J353" s="9" t="s">
        <v>989</v>
      </c>
      <c r="K353" s="10"/>
    </row>
    <row r="354" spans="1:11" x14ac:dyDescent="0.35">
      <c r="A354" s="47"/>
      <c r="B354" s="47"/>
      <c r="C354" s="47"/>
      <c r="D354" s="11" t="s">
        <v>990</v>
      </c>
      <c r="E354" s="12" t="s">
        <v>23</v>
      </c>
      <c r="F354" s="48"/>
      <c r="G354" s="48"/>
      <c r="H354" s="48"/>
      <c r="I354" s="48"/>
      <c r="J354" s="13" t="s">
        <v>991</v>
      </c>
      <c r="K354" s="14"/>
    </row>
    <row r="355" spans="1:11" x14ac:dyDescent="0.35">
      <c r="A355" s="47"/>
      <c r="B355" s="47"/>
      <c r="C355" s="47"/>
      <c r="D355" s="15" t="s">
        <v>992</v>
      </c>
      <c r="E355" s="16" t="s">
        <v>23</v>
      </c>
      <c r="F355" s="48"/>
      <c r="G355" s="48"/>
      <c r="H355" s="48"/>
      <c r="I355" s="48"/>
      <c r="J355" s="17" t="s">
        <v>993</v>
      </c>
      <c r="K355" s="18"/>
    </row>
    <row r="356" spans="1:11" ht="15" customHeight="1" x14ac:dyDescent="0.35">
      <c r="A356" s="50">
        <v>118</v>
      </c>
      <c r="B356" s="50" t="s">
        <v>994</v>
      </c>
      <c r="C356" s="51" t="s">
        <v>995</v>
      </c>
      <c r="D356" s="19" t="s">
        <v>996</v>
      </c>
      <c r="E356" s="2" t="s">
        <v>16</v>
      </c>
      <c r="F356" s="51" t="s">
        <v>17</v>
      </c>
      <c r="G356" s="50" t="s">
        <v>92</v>
      </c>
      <c r="H356" s="50" t="s">
        <v>31</v>
      </c>
      <c r="I356" s="52" t="s">
        <v>20</v>
      </c>
      <c r="J356" s="20" t="s">
        <v>997</v>
      </c>
      <c r="K356" s="10"/>
    </row>
    <row r="357" spans="1:11" x14ac:dyDescent="0.35">
      <c r="A357" s="50"/>
      <c r="B357" s="50"/>
      <c r="C357" s="50"/>
      <c r="D357" s="21" t="s">
        <v>998</v>
      </c>
      <c r="E357" s="22" t="s">
        <v>23</v>
      </c>
      <c r="F357" s="51"/>
      <c r="G357" s="51"/>
      <c r="H357" s="51"/>
      <c r="I357" s="51"/>
      <c r="J357" s="23" t="s">
        <v>999</v>
      </c>
      <c r="K357" s="14"/>
    </row>
    <row r="358" spans="1:11" x14ac:dyDescent="0.35">
      <c r="A358" s="50"/>
      <c r="B358" s="50"/>
      <c r="C358" s="50"/>
      <c r="D358" s="24" t="s">
        <v>1000</v>
      </c>
      <c r="E358" s="25" t="s">
        <v>23</v>
      </c>
      <c r="F358" s="51"/>
      <c r="G358" s="51"/>
      <c r="H358" s="51"/>
      <c r="I358" s="51"/>
      <c r="J358" s="26" t="s">
        <v>1001</v>
      </c>
      <c r="K358" s="18"/>
    </row>
    <row r="359" spans="1:11" ht="15" customHeight="1" x14ac:dyDescent="0.35">
      <c r="A359" s="47">
        <v>119</v>
      </c>
      <c r="B359" s="47" t="s">
        <v>1002</v>
      </c>
      <c r="C359" s="48" t="s">
        <v>1003</v>
      </c>
      <c r="D359" s="8" t="s">
        <v>1004</v>
      </c>
      <c r="E359" s="4" t="s">
        <v>16</v>
      </c>
      <c r="F359" s="48" t="s">
        <v>17</v>
      </c>
      <c r="G359" s="47" t="s">
        <v>42</v>
      </c>
      <c r="H359" s="47" t="s">
        <v>31</v>
      </c>
      <c r="I359" s="49" t="s">
        <v>20</v>
      </c>
      <c r="J359" s="9" t="s">
        <v>1005</v>
      </c>
      <c r="K359" s="10"/>
    </row>
    <row r="360" spans="1:11" x14ac:dyDescent="0.35">
      <c r="A360" s="47"/>
      <c r="B360" s="47"/>
      <c r="C360" s="47"/>
      <c r="D360" s="11" t="s">
        <v>1006</v>
      </c>
      <c r="E360" s="12" t="s">
        <v>23</v>
      </c>
      <c r="F360" s="48"/>
      <c r="G360" s="48"/>
      <c r="H360" s="48"/>
      <c r="I360" s="48"/>
      <c r="J360" s="13" t="s">
        <v>1007</v>
      </c>
      <c r="K360" s="14"/>
    </row>
    <row r="361" spans="1:11" x14ac:dyDescent="0.35">
      <c r="A361" s="47"/>
      <c r="B361" s="47"/>
      <c r="C361" s="47"/>
      <c r="D361" s="15" t="s">
        <v>1008</v>
      </c>
      <c r="E361" s="16" t="s">
        <v>23</v>
      </c>
      <c r="F361" s="48"/>
      <c r="G361" s="48"/>
      <c r="H361" s="48"/>
      <c r="I361" s="48"/>
      <c r="J361" s="17" t="s">
        <v>1009</v>
      </c>
      <c r="K361" s="18"/>
    </row>
    <row r="362" spans="1:11" ht="15" customHeight="1" x14ac:dyDescent="0.35">
      <c r="A362" s="50">
        <v>120</v>
      </c>
      <c r="B362" s="50" t="s">
        <v>1010</v>
      </c>
      <c r="C362" s="51" t="s">
        <v>1011</v>
      </c>
      <c r="D362" s="19" t="s">
        <v>1012</v>
      </c>
      <c r="E362" s="2" t="s">
        <v>16</v>
      </c>
      <c r="F362" s="51" t="s">
        <v>17</v>
      </c>
      <c r="G362" s="50" t="s">
        <v>300</v>
      </c>
      <c r="H362" s="50" t="s">
        <v>19</v>
      </c>
      <c r="I362" s="52" t="s">
        <v>20</v>
      </c>
      <c r="J362" s="20" t="s">
        <v>1013</v>
      </c>
      <c r="K362" s="10"/>
    </row>
    <row r="363" spans="1:11" x14ac:dyDescent="0.35">
      <c r="A363" s="50"/>
      <c r="B363" s="50"/>
      <c r="C363" s="50"/>
      <c r="D363" s="21" t="s">
        <v>1014</v>
      </c>
      <c r="E363" s="22" t="s">
        <v>23</v>
      </c>
      <c r="F363" s="51"/>
      <c r="G363" s="51"/>
      <c r="H363" s="51"/>
      <c r="I363" s="51"/>
      <c r="J363" s="23" t="s">
        <v>1015</v>
      </c>
      <c r="K363" s="14"/>
    </row>
    <row r="364" spans="1:11" x14ac:dyDescent="0.35">
      <c r="A364" s="50"/>
      <c r="B364" s="50"/>
      <c r="C364" s="50"/>
      <c r="D364" s="24" t="s">
        <v>1016</v>
      </c>
      <c r="E364" s="25" t="s">
        <v>23</v>
      </c>
      <c r="F364" s="51"/>
      <c r="G364" s="51"/>
      <c r="H364" s="51"/>
      <c r="I364" s="51"/>
      <c r="J364" s="26" t="s">
        <v>1017</v>
      </c>
      <c r="K364" s="18"/>
    </row>
    <row r="365" spans="1:11" ht="15" customHeight="1" x14ac:dyDescent="0.35">
      <c r="A365" s="47">
        <v>121</v>
      </c>
      <c r="B365" s="47" t="s">
        <v>1018</v>
      </c>
      <c r="C365" s="48" t="s">
        <v>1019</v>
      </c>
      <c r="D365" s="8" t="s">
        <v>1020</v>
      </c>
      <c r="E365" s="4" t="s">
        <v>16</v>
      </c>
      <c r="F365" s="48" t="s">
        <v>17</v>
      </c>
      <c r="G365" s="47" t="s">
        <v>92</v>
      </c>
      <c r="H365" s="47" t="s">
        <v>55</v>
      </c>
      <c r="I365" s="49" t="s">
        <v>20</v>
      </c>
      <c r="J365" s="9" t="s">
        <v>1021</v>
      </c>
      <c r="K365" s="10"/>
    </row>
    <row r="366" spans="1:11" x14ac:dyDescent="0.35">
      <c r="A366" s="47"/>
      <c r="B366" s="47"/>
      <c r="C366" s="47"/>
      <c r="D366" s="11" t="s">
        <v>1022</v>
      </c>
      <c r="E366" s="12" t="s">
        <v>23</v>
      </c>
      <c r="F366" s="48"/>
      <c r="G366" s="48"/>
      <c r="H366" s="48"/>
      <c r="I366" s="48"/>
      <c r="J366" s="13" t="s">
        <v>1023</v>
      </c>
      <c r="K366" s="14"/>
    </row>
    <row r="367" spans="1:11" x14ac:dyDescent="0.35">
      <c r="A367" s="47"/>
      <c r="B367" s="47"/>
      <c r="C367" s="47"/>
      <c r="D367" s="15" t="s">
        <v>1024</v>
      </c>
      <c r="E367" s="16" t="s">
        <v>23</v>
      </c>
      <c r="F367" s="48"/>
      <c r="G367" s="48"/>
      <c r="H367" s="48"/>
      <c r="I367" s="48"/>
      <c r="J367" s="17" t="s">
        <v>1025</v>
      </c>
      <c r="K367" s="18"/>
    </row>
    <row r="368" spans="1:11" ht="15" customHeight="1" x14ac:dyDescent="0.35">
      <c r="A368" s="50">
        <v>122</v>
      </c>
      <c r="B368" s="50" t="s">
        <v>1026</v>
      </c>
      <c r="C368" s="51" t="s">
        <v>1027</v>
      </c>
      <c r="D368" s="19" t="s">
        <v>1028</v>
      </c>
      <c r="E368" s="2" t="s">
        <v>16</v>
      </c>
      <c r="F368" s="51" t="s">
        <v>17</v>
      </c>
      <c r="G368" s="50" t="s">
        <v>42</v>
      </c>
      <c r="H368" s="50" t="s">
        <v>31</v>
      </c>
      <c r="I368" s="52" t="s">
        <v>20</v>
      </c>
      <c r="J368" s="20" t="s">
        <v>1029</v>
      </c>
      <c r="K368" s="10"/>
    </row>
    <row r="369" spans="1:11" x14ac:dyDescent="0.35">
      <c r="A369" s="50"/>
      <c r="B369" s="50"/>
      <c r="C369" s="50"/>
      <c r="D369" s="21" t="s">
        <v>1030</v>
      </c>
      <c r="E369" s="22" t="s">
        <v>23</v>
      </c>
      <c r="F369" s="51"/>
      <c r="G369" s="51"/>
      <c r="H369" s="51"/>
      <c r="I369" s="51"/>
      <c r="J369" s="23" t="s">
        <v>1031</v>
      </c>
      <c r="K369" s="14"/>
    </row>
    <row r="370" spans="1:11" x14ac:dyDescent="0.35">
      <c r="A370" s="50"/>
      <c r="B370" s="50"/>
      <c r="C370" s="50"/>
      <c r="D370" s="24" t="s">
        <v>1032</v>
      </c>
      <c r="E370" s="25" t="s">
        <v>23</v>
      </c>
      <c r="F370" s="51"/>
      <c r="G370" s="51"/>
      <c r="H370" s="51"/>
      <c r="I370" s="51"/>
      <c r="J370" s="26" t="s">
        <v>1033</v>
      </c>
      <c r="K370" s="18"/>
    </row>
    <row r="371" spans="1:11" ht="15" customHeight="1" x14ac:dyDescent="0.35">
      <c r="A371" s="47">
        <v>123</v>
      </c>
      <c r="B371" s="47" t="s">
        <v>1034</v>
      </c>
      <c r="C371" s="48" t="s">
        <v>1035</v>
      </c>
      <c r="D371" s="8" t="s">
        <v>1036</v>
      </c>
      <c r="E371" s="4" t="s">
        <v>16</v>
      </c>
      <c r="F371" s="3" t="s">
        <v>17</v>
      </c>
      <c r="G371" s="4" t="s">
        <v>42</v>
      </c>
      <c r="H371" s="47" t="s">
        <v>31</v>
      </c>
      <c r="I371" s="49" t="s">
        <v>20</v>
      </c>
      <c r="J371" s="9" t="s">
        <v>1037</v>
      </c>
      <c r="K371" s="10"/>
    </row>
    <row r="372" spans="1:11" x14ac:dyDescent="0.35">
      <c r="A372" s="47"/>
      <c r="B372" s="47"/>
      <c r="C372" s="47"/>
      <c r="D372" s="11" t="s">
        <v>1038</v>
      </c>
      <c r="E372" s="12" t="s">
        <v>23</v>
      </c>
      <c r="F372" s="11" t="s">
        <v>17</v>
      </c>
      <c r="G372" s="12" t="s">
        <v>42</v>
      </c>
      <c r="H372" s="47"/>
      <c r="I372" s="47"/>
      <c r="J372" s="13" t="s">
        <v>1039</v>
      </c>
      <c r="K372" s="14"/>
    </row>
    <row r="373" spans="1:11" ht="25" x14ac:dyDescent="0.35">
      <c r="A373" s="47"/>
      <c r="B373" s="47"/>
      <c r="C373" s="47"/>
      <c r="D373" s="15" t="s">
        <v>1040</v>
      </c>
      <c r="E373" s="16" t="s">
        <v>23</v>
      </c>
      <c r="F373" s="15" t="s">
        <v>1041</v>
      </c>
      <c r="G373" s="16" t="s">
        <v>92</v>
      </c>
      <c r="H373" s="47"/>
      <c r="I373" s="47"/>
      <c r="J373" s="17" t="s">
        <v>1042</v>
      </c>
      <c r="K373" s="18"/>
    </row>
    <row r="374" spans="1:11" ht="15" customHeight="1" x14ac:dyDescent="0.35">
      <c r="A374" s="50">
        <v>124</v>
      </c>
      <c r="B374" s="50" t="s">
        <v>1043</v>
      </c>
      <c r="C374" s="51" t="s">
        <v>1044</v>
      </c>
      <c r="D374" s="19" t="s">
        <v>1045</v>
      </c>
      <c r="E374" s="2" t="s">
        <v>16</v>
      </c>
      <c r="F374" s="51" t="s">
        <v>17</v>
      </c>
      <c r="G374" s="50" t="s">
        <v>42</v>
      </c>
      <c r="H374" s="50" t="s">
        <v>31</v>
      </c>
      <c r="I374" s="52" t="s">
        <v>20</v>
      </c>
      <c r="J374" s="20" t="s">
        <v>1046</v>
      </c>
      <c r="K374" s="10"/>
    </row>
    <row r="375" spans="1:11" x14ac:dyDescent="0.35">
      <c r="A375" s="50"/>
      <c r="B375" s="50"/>
      <c r="C375" s="50"/>
      <c r="D375" s="21" t="s">
        <v>1047</v>
      </c>
      <c r="E375" s="22" t="s">
        <v>23</v>
      </c>
      <c r="F375" s="51"/>
      <c r="G375" s="51"/>
      <c r="H375" s="51"/>
      <c r="I375" s="51"/>
      <c r="J375" s="23" t="s">
        <v>1048</v>
      </c>
      <c r="K375" s="14"/>
    </row>
    <row r="376" spans="1:11" x14ac:dyDescent="0.35">
      <c r="A376" s="50"/>
      <c r="B376" s="50"/>
      <c r="C376" s="50"/>
      <c r="D376" s="24" t="s">
        <v>1049</v>
      </c>
      <c r="E376" s="25" t="s">
        <v>23</v>
      </c>
      <c r="F376" s="51"/>
      <c r="G376" s="51"/>
      <c r="H376" s="51"/>
      <c r="I376" s="51"/>
      <c r="J376" s="26" t="s">
        <v>1050</v>
      </c>
      <c r="K376" s="18"/>
    </row>
    <row r="377" spans="1:11" ht="15" customHeight="1" x14ac:dyDescent="0.35">
      <c r="A377" s="47">
        <v>125</v>
      </c>
      <c r="B377" s="47" t="s">
        <v>1051</v>
      </c>
      <c r="C377" s="48" t="s">
        <v>1052</v>
      </c>
      <c r="D377" s="8" t="s">
        <v>1053</v>
      </c>
      <c r="E377" s="4" t="s">
        <v>16</v>
      </c>
      <c r="F377" s="48" t="s">
        <v>17</v>
      </c>
      <c r="G377" s="47" t="s">
        <v>92</v>
      </c>
      <c r="H377" s="47" t="s">
        <v>55</v>
      </c>
      <c r="I377" s="49" t="s">
        <v>20</v>
      </c>
      <c r="J377" s="9" t="s">
        <v>1054</v>
      </c>
      <c r="K377" s="10"/>
    </row>
    <row r="378" spans="1:11" x14ac:dyDescent="0.35">
      <c r="A378" s="47"/>
      <c r="B378" s="47"/>
      <c r="C378" s="47"/>
      <c r="D378" s="11" t="s">
        <v>1055</v>
      </c>
      <c r="E378" s="12" t="s">
        <v>23</v>
      </c>
      <c r="F378" s="48"/>
      <c r="G378" s="48"/>
      <c r="H378" s="48"/>
      <c r="I378" s="48"/>
      <c r="J378" s="13" t="s">
        <v>1056</v>
      </c>
      <c r="K378" s="14"/>
    </row>
    <row r="379" spans="1:11" x14ac:dyDescent="0.35">
      <c r="A379" s="47"/>
      <c r="B379" s="47"/>
      <c r="C379" s="47"/>
      <c r="D379" s="15" t="s">
        <v>1057</v>
      </c>
      <c r="E379" s="16" t="s">
        <v>23</v>
      </c>
      <c r="F379" s="48"/>
      <c r="G379" s="48"/>
      <c r="H379" s="48"/>
      <c r="I379" s="48"/>
      <c r="J379" s="17" t="s">
        <v>1058</v>
      </c>
      <c r="K379" s="18"/>
    </row>
    <row r="380" spans="1:11" ht="15" customHeight="1" x14ac:dyDescent="0.35">
      <c r="A380" s="50">
        <v>126</v>
      </c>
      <c r="B380" s="50" t="s">
        <v>1059</v>
      </c>
      <c r="C380" s="51" t="s">
        <v>1060</v>
      </c>
      <c r="D380" s="19" t="s">
        <v>1061</v>
      </c>
      <c r="E380" s="2" t="s">
        <v>16</v>
      </c>
      <c r="F380" s="51" t="s">
        <v>17</v>
      </c>
      <c r="G380" s="50" t="s">
        <v>18</v>
      </c>
      <c r="H380" s="50" t="s">
        <v>19</v>
      </c>
      <c r="I380" s="52" t="s">
        <v>20</v>
      </c>
      <c r="J380" s="20" t="s">
        <v>1062</v>
      </c>
      <c r="K380" s="10"/>
    </row>
    <row r="381" spans="1:11" x14ac:dyDescent="0.35">
      <c r="A381" s="50"/>
      <c r="B381" s="50"/>
      <c r="C381" s="50"/>
      <c r="D381" s="21" t="s">
        <v>1063</v>
      </c>
      <c r="E381" s="22" t="s">
        <v>23</v>
      </c>
      <c r="F381" s="51"/>
      <c r="G381" s="51"/>
      <c r="H381" s="51"/>
      <c r="I381" s="51"/>
      <c r="J381" s="23" t="s">
        <v>1064</v>
      </c>
      <c r="K381" s="14"/>
    </row>
    <row r="382" spans="1:11" x14ac:dyDescent="0.35">
      <c r="A382" s="50"/>
      <c r="B382" s="50"/>
      <c r="C382" s="50"/>
      <c r="D382" s="24" t="s">
        <v>1065</v>
      </c>
      <c r="E382" s="25" t="s">
        <v>23</v>
      </c>
      <c r="F382" s="51"/>
      <c r="G382" s="51"/>
      <c r="H382" s="51"/>
      <c r="I382" s="51"/>
      <c r="J382" s="26" t="s">
        <v>1066</v>
      </c>
      <c r="K382" s="18"/>
    </row>
    <row r="383" spans="1:11" ht="15" customHeight="1" x14ac:dyDescent="0.35">
      <c r="A383" s="47">
        <v>127</v>
      </c>
      <c r="B383" s="47" t="s">
        <v>1067</v>
      </c>
      <c r="C383" s="48" t="s">
        <v>1068</v>
      </c>
      <c r="D383" s="8" t="s">
        <v>1069</v>
      </c>
      <c r="E383" s="4" t="s">
        <v>16</v>
      </c>
      <c r="F383" s="48" t="s">
        <v>438</v>
      </c>
      <c r="G383" s="47" t="s">
        <v>92</v>
      </c>
      <c r="H383" s="47" t="s">
        <v>55</v>
      </c>
      <c r="I383" s="49" t="s">
        <v>20</v>
      </c>
      <c r="J383" s="9" t="s">
        <v>1070</v>
      </c>
      <c r="K383" s="10"/>
    </row>
    <row r="384" spans="1:11" x14ac:dyDescent="0.35">
      <c r="A384" s="47"/>
      <c r="B384" s="47"/>
      <c r="C384" s="47"/>
      <c r="D384" s="11" t="s">
        <v>1071</v>
      </c>
      <c r="E384" s="12" t="s">
        <v>23</v>
      </c>
      <c r="F384" s="48"/>
      <c r="G384" s="48"/>
      <c r="H384" s="48"/>
      <c r="I384" s="48"/>
      <c r="J384" s="13" t="s">
        <v>1072</v>
      </c>
      <c r="K384" s="14"/>
    </row>
    <row r="385" spans="1:11" x14ac:dyDescent="0.35">
      <c r="A385" s="47"/>
      <c r="B385" s="47"/>
      <c r="C385" s="47"/>
      <c r="D385" s="15" t="s">
        <v>1073</v>
      </c>
      <c r="E385" s="16" t="s">
        <v>23</v>
      </c>
      <c r="F385" s="48"/>
      <c r="G385" s="48"/>
      <c r="H385" s="48"/>
      <c r="I385" s="48"/>
      <c r="J385" s="17" t="s">
        <v>1074</v>
      </c>
      <c r="K385" s="18"/>
    </row>
    <row r="386" spans="1:11" ht="15" customHeight="1" x14ac:dyDescent="0.35">
      <c r="A386" s="50">
        <v>128</v>
      </c>
      <c r="B386" s="50" t="s">
        <v>1075</v>
      </c>
      <c r="C386" s="51" t="s">
        <v>1076</v>
      </c>
      <c r="D386" s="19" t="s">
        <v>1077</v>
      </c>
      <c r="E386" s="2" t="s">
        <v>16</v>
      </c>
      <c r="F386" s="51" t="s">
        <v>167</v>
      </c>
      <c r="G386" s="50" t="s">
        <v>30</v>
      </c>
      <c r="H386" s="50" t="s">
        <v>31</v>
      </c>
      <c r="I386" s="52" t="s">
        <v>20</v>
      </c>
      <c r="J386" s="20" t="s">
        <v>1078</v>
      </c>
      <c r="K386" s="10"/>
    </row>
    <row r="387" spans="1:11" x14ac:dyDescent="0.35">
      <c r="A387" s="50"/>
      <c r="B387" s="50"/>
      <c r="C387" s="50"/>
      <c r="D387" s="21" t="s">
        <v>1079</v>
      </c>
      <c r="E387" s="22" t="s">
        <v>23</v>
      </c>
      <c r="F387" s="51"/>
      <c r="G387" s="51"/>
      <c r="H387" s="51"/>
      <c r="I387" s="51"/>
      <c r="J387" s="23" t="s">
        <v>1080</v>
      </c>
      <c r="K387" s="14"/>
    </row>
    <row r="388" spans="1:11" x14ac:dyDescent="0.35">
      <c r="A388" s="50"/>
      <c r="B388" s="50"/>
      <c r="C388" s="50"/>
      <c r="D388" s="24" t="s">
        <v>1081</v>
      </c>
      <c r="E388" s="25" t="s">
        <v>23</v>
      </c>
      <c r="F388" s="51"/>
      <c r="G388" s="51"/>
      <c r="H388" s="51"/>
      <c r="I388" s="51"/>
      <c r="J388" s="26" t="s">
        <v>1082</v>
      </c>
      <c r="K388" s="18"/>
    </row>
    <row r="389" spans="1:11" ht="15" customHeight="1" x14ac:dyDescent="0.35">
      <c r="A389" s="47">
        <v>129</v>
      </c>
      <c r="B389" s="47" t="s">
        <v>1083</v>
      </c>
      <c r="C389" s="48" t="s">
        <v>1084</v>
      </c>
      <c r="D389" s="8" t="s">
        <v>1085</v>
      </c>
      <c r="E389" s="4" t="s">
        <v>16</v>
      </c>
      <c r="F389" s="48" t="s">
        <v>17</v>
      </c>
      <c r="G389" s="4" t="s">
        <v>92</v>
      </c>
      <c r="H389" s="47" t="s">
        <v>55</v>
      </c>
      <c r="I389" s="49" t="s">
        <v>20</v>
      </c>
      <c r="J389" s="9" t="s">
        <v>1086</v>
      </c>
      <c r="K389" s="10"/>
    </row>
    <row r="390" spans="1:11" x14ac:dyDescent="0.35">
      <c r="A390" s="47"/>
      <c r="B390" s="47"/>
      <c r="C390" s="47"/>
      <c r="D390" s="11" t="s">
        <v>1087</v>
      </c>
      <c r="E390" s="12" t="s">
        <v>23</v>
      </c>
      <c r="F390" s="48"/>
      <c r="G390" s="12" t="s">
        <v>92</v>
      </c>
      <c r="H390" s="47"/>
      <c r="I390" s="47"/>
      <c r="J390" s="13" t="s">
        <v>1088</v>
      </c>
      <c r="K390" s="14"/>
    </row>
    <row r="391" spans="1:11" x14ac:dyDescent="0.35">
      <c r="A391" s="47"/>
      <c r="B391" s="47"/>
      <c r="C391" s="47"/>
      <c r="D391" s="15" t="s">
        <v>1089</v>
      </c>
      <c r="E391" s="16" t="s">
        <v>23</v>
      </c>
      <c r="F391" s="48"/>
      <c r="G391" s="16" t="s">
        <v>30</v>
      </c>
      <c r="H391" s="47"/>
      <c r="I391" s="47"/>
      <c r="J391" s="17" t="s">
        <v>1090</v>
      </c>
      <c r="K391" s="18"/>
    </row>
    <row r="392" spans="1:11" ht="15" customHeight="1" x14ac:dyDescent="0.35">
      <c r="A392" s="50">
        <v>130</v>
      </c>
      <c r="B392" s="50" t="s">
        <v>1091</v>
      </c>
      <c r="C392" s="51" t="s">
        <v>1092</v>
      </c>
      <c r="D392" s="19" t="s">
        <v>1093</v>
      </c>
      <c r="E392" s="2" t="s">
        <v>16</v>
      </c>
      <c r="F392" s="1" t="s">
        <v>17</v>
      </c>
      <c r="G392" s="2" t="s">
        <v>300</v>
      </c>
      <c r="H392" s="2" t="s">
        <v>193</v>
      </c>
      <c r="I392" s="52" t="s">
        <v>20</v>
      </c>
      <c r="J392" s="20" t="s">
        <v>1094</v>
      </c>
      <c r="K392" s="10"/>
    </row>
    <row r="393" spans="1:11" x14ac:dyDescent="0.35">
      <c r="A393" s="50"/>
      <c r="B393" s="50"/>
      <c r="C393" s="50"/>
      <c r="D393" s="21" t="s">
        <v>1095</v>
      </c>
      <c r="E393" s="22" t="s">
        <v>23</v>
      </c>
      <c r="F393" s="21" t="s">
        <v>17</v>
      </c>
      <c r="G393" s="22" t="s">
        <v>92</v>
      </c>
      <c r="H393" s="22" t="s">
        <v>55</v>
      </c>
      <c r="I393" s="52"/>
      <c r="J393" s="23" t="s">
        <v>1096</v>
      </c>
      <c r="K393" s="14"/>
    </row>
    <row r="394" spans="1:11" ht="25" x14ac:dyDescent="0.35">
      <c r="A394" s="50"/>
      <c r="B394" s="50"/>
      <c r="C394" s="50"/>
      <c r="D394" s="24" t="s">
        <v>1097</v>
      </c>
      <c r="E394" s="25" t="s">
        <v>23</v>
      </c>
      <c r="F394" s="24" t="s">
        <v>1098</v>
      </c>
      <c r="G394" s="25" t="s">
        <v>42</v>
      </c>
      <c r="H394" s="25" t="s">
        <v>55</v>
      </c>
      <c r="I394" s="52"/>
      <c r="J394" s="26" t="s">
        <v>1099</v>
      </c>
      <c r="K394" s="18"/>
    </row>
    <row r="395" spans="1:11" ht="15" customHeight="1" x14ac:dyDescent="0.35">
      <c r="A395" s="47">
        <v>131</v>
      </c>
      <c r="B395" s="47" t="s">
        <v>1100</v>
      </c>
      <c r="C395" s="48" t="s">
        <v>1101</v>
      </c>
      <c r="D395" s="8" t="s">
        <v>1102</v>
      </c>
      <c r="E395" s="4" t="s">
        <v>16</v>
      </c>
      <c r="F395" s="48" t="s">
        <v>17</v>
      </c>
      <c r="G395" s="47" t="s">
        <v>30</v>
      </c>
      <c r="H395" s="4" t="s">
        <v>31</v>
      </c>
      <c r="I395" s="49" t="s">
        <v>20</v>
      </c>
      <c r="J395" s="9" t="s">
        <v>1103</v>
      </c>
      <c r="K395" s="10"/>
    </row>
    <row r="396" spans="1:11" x14ac:dyDescent="0.35">
      <c r="A396" s="47"/>
      <c r="B396" s="47"/>
      <c r="C396" s="47"/>
      <c r="D396" s="11" t="s">
        <v>1104</v>
      </c>
      <c r="E396" s="12" t="s">
        <v>23</v>
      </c>
      <c r="F396" s="48"/>
      <c r="G396" s="48"/>
      <c r="H396" s="12" t="s">
        <v>19</v>
      </c>
      <c r="I396" s="49"/>
      <c r="J396" s="13" t="s">
        <v>1105</v>
      </c>
      <c r="K396" s="14"/>
    </row>
    <row r="397" spans="1:11" x14ac:dyDescent="0.35">
      <c r="A397" s="47"/>
      <c r="B397" s="47"/>
      <c r="C397" s="47"/>
      <c r="D397" s="15" t="s">
        <v>1106</v>
      </c>
      <c r="E397" s="16" t="s">
        <v>23</v>
      </c>
      <c r="F397" s="48"/>
      <c r="G397" s="48"/>
      <c r="H397" s="16" t="s">
        <v>31</v>
      </c>
      <c r="I397" s="49"/>
      <c r="J397" s="17" t="s">
        <v>1107</v>
      </c>
      <c r="K397" s="18"/>
    </row>
    <row r="398" spans="1:11" ht="15" customHeight="1" x14ac:dyDescent="0.35">
      <c r="A398" s="50">
        <v>132</v>
      </c>
      <c r="B398" s="50" t="s">
        <v>1108</v>
      </c>
      <c r="C398" s="51" t="s">
        <v>1109</v>
      </c>
      <c r="D398" s="19" t="s">
        <v>1110</v>
      </c>
      <c r="E398" s="2" t="s">
        <v>16</v>
      </c>
      <c r="F398" s="51" t="s">
        <v>17</v>
      </c>
      <c r="G398" s="50" t="s">
        <v>324</v>
      </c>
      <c r="H398" s="50" t="s">
        <v>31</v>
      </c>
      <c r="I398" s="52" t="s">
        <v>20</v>
      </c>
      <c r="J398" s="20" t="s">
        <v>1111</v>
      </c>
      <c r="K398" s="10"/>
    </row>
    <row r="399" spans="1:11" x14ac:dyDescent="0.35">
      <c r="A399" s="50"/>
      <c r="B399" s="50"/>
      <c r="C399" s="50"/>
      <c r="D399" s="21" t="s">
        <v>1112</v>
      </c>
      <c r="E399" s="22" t="s">
        <v>23</v>
      </c>
      <c r="F399" s="51"/>
      <c r="G399" s="51"/>
      <c r="H399" s="51"/>
      <c r="I399" s="51"/>
      <c r="J399" s="23" t="s">
        <v>1113</v>
      </c>
      <c r="K399" s="14"/>
    </row>
    <row r="400" spans="1:11" x14ac:dyDescent="0.35">
      <c r="A400" s="50"/>
      <c r="B400" s="50"/>
      <c r="C400" s="50"/>
      <c r="D400" s="24" t="s">
        <v>1114</v>
      </c>
      <c r="E400" s="25" t="s">
        <v>23</v>
      </c>
      <c r="F400" s="51"/>
      <c r="G400" s="51"/>
      <c r="H400" s="51"/>
      <c r="I400" s="51"/>
      <c r="J400" s="26" t="s">
        <v>1115</v>
      </c>
      <c r="K400" s="18"/>
    </row>
    <row r="401" spans="1:11" ht="15" customHeight="1" x14ac:dyDescent="0.35">
      <c r="A401" s="47">
        <v>133</v>
      </c>
      <c r="B401" s="47" t="s">
        <v>1116</v>
      </c>
      <c r="C401" s="48" t="s">
        <v>1117</v>
      </c>
      <c r="D401" s="8" t="s">
        <v>1118</v>
      </c>
      <c r="E401" s="4" t="s">
        <v>16</v>
      </c>
      <c r="F401" s="48" t="s">
        <v>17</v>
      </c>
      <c r="G401" s="4" t="s">
        <v>92</v>
      </c>
      <c r="H401" s="47" t="s">
        <v>55</v>
      </c>
      <c r="I401" s="49" t="s">
        <v>20</v>
      </c>
      <c r="J401" s="9" t="s">
        <v>1119</v>
      </c>
      <c r="K401" s="10"/>
    </row>
    <row r="402" spans="1:11" x14ac:dyDescent="0.35">
      <c r="A402" s="47"/>
      <c r="B402" s="47"/>
      <c r="C402" s="47"/>
      <c r="D402" s="11" t="s">
        <v>1120</v>
      </c>
      <c r="E402" s="12" t="s">
        <v>23</v>
      </c>
      <c r="F402" s="48"/>
      <c r="G402" s="12" t="s">
        <v>92</v>
      </c>
      <c r="H402" s="47"/>
      <c r="I402" s="47"/>
      <c r="J402" s="13" t="s">
        <v>1121</v>
      </c>
      <c r="K402" s="14"/>
    </row>
    <row r="403" spans="1:11" x14ac:dyDescent="0.35">
      <c r="A403" s="47"/>
      <c r="B403" s="47"/>
      <c r="C403" s="47"/>
      <c r="D403" s="15" t="s">
        <v>1122</v>
      </c>
      <c r="E403" s="16" t="s">
        <v>23</v>
      </c>
      <c r="F403" s="48"/>
      <c r="G403" s="16" t="s">
        <v>42</v>
      </c>
      <c r="H403" s="47"/>
      <c r="I403" s="47"/>
      <c r="J403" s="17" t="s">
        <v>1123</v>
      </c>
      <c r="K403" s="18"/>
    </row>
    <row r="404" spans="1:11" ht="23.9" customHeight="1" x14ac:dyDescent="0.35">
      <c r="A404" s="50">
        <v>134</v>
      </c>
      <c r="B404" s="50" t="s">
        <v>1124</v>
      </c>
      <c r="C404" s="51" t="s">
        <v>1125</v>
      </c>
      <c r="D404" s="19" t="s">
        <v>1126</v>
      </c>
      <c r="E404" s="2" t="s">
        <v>16</v>
      </c>
      <c r="F404" s="51" t="s">
        <v>897</v>
      </c>
      <c r="G404" s="50" t="s">
        <v>92</v>
      </c>
      <c r="H404" s="50" t="s">
        <v>19</v>
      </c>
      <c r="I404" s="52" t="s">
        <v>20</v>
      </c>
      <c r="J404" s="20" t="s">
        <v>1127</v>
      </c>
      <c r="K404" s="10"/>
    </row>
    <row r="405" spans="1:11" x14ac:dyDescent="0.35">
      <c r="A405" s="50"/>
      <c r="B405" s="50"/>
      <c r="C405" s="50"/>
      <c r="D405" s="21" t="s">
        <v>1128</v>
      </c>
      <c r="E405" s="22" t="s">
        <v>23</v>
      </c>
      <c r="F405" s="51"/>
      <c r="G405" s="51"/>
      <c r="H405" s="51"/>
      <c r="I405" s="51"/>
      <c r="J405" s="23" t="s">
        <v>1129</v>
      </c>
      <c r="K405" s="14"/>
    </row>
    <row r="406" spans="1:11" x14ac:dyDescent="0.35">
      <c r="A406" s="50"/>
      <c r="B406" s="50"/>
      <c r="C406" s="50"/>
      <c r="D406" s="24" t="s">
        <v>1130</v>
      </c>
      <c r="E406" s="25" t="s">
        <v>23</v>
      </c>
      <c r="F406" s="51"/>
      <c r="G406" s="51"/>
      <c r="H406" s="51"/>
      <c r="I406" s="51"/>
      <c r="J406" s="26" t="s">
        <v>1131</v>
      </c>
      <c r="K406" s="18"/>
    </row>
    <row r="407" spans="1:11" ht="15" customHeight="1" x14ac:dyDescent="0.35">
      <c r="A407" s="47">
        <v>135</v>
      </c>
      <c r="B407" s="47" t="s">
        <v>1132</v>
      </c>
      <c r="C407" s="48" t="s">
        <v>1133</v>
      </c>
      <c r="D407" s="8" t="s">
        <v>1134</v>
      </c>
      <c r="E407" s="4" t="s">
        <v>16</v>
      </c>
      <c r="F407" s="48" t="s">
        <v>17</v>
      </c>
      <c r="G407" s="47" t="s">
        <v>92</v>
      </c>
      <c r="H407" s="47" t="s">
        <v>31</v>
      </c>
      <c r="I407" s="49" t="s">
        <v>20</v>
      </c>
      <c r="J407" s="9" t="s">
        <v>1135</v>
      </c>
      <c r="K407" s="10"/>
    </row>
    <row r="408" spans="1:11" x14ac:dyDescent="0.35">
      <c r="A408" s="47"/>
      <c r="B408" s="47"/>
      <c r="C408" s="47"/>
      <c r="D408" s="11" t="s">
        <v>1136</v>
      </c>
      <c r="E408" s="12" t="s">
        <v>23</v>
      </c>
      <c r="F408" s="48"/>
      <c r="G408" s="48"/>
      <c r="H408" s="48"/>
      <c r="I408" s="48"/>
      <c r="J408" s="13" t="s">
        <v>1137</v>
      </c>
      <c r="K408" s="14"/>
    </row>
    <row r="409" spans="1:11" x14ac:dyDescent="0.35">
      <c r="A409" s="47"/>
      <c r="B409" s="47"/>
      <c r="C409" s="47"/>
      <c r="D409" s="15" t="s">
        <v>1138</v>
      </c>
      <c r="E409" s="16" t="s">
        <v>23</v>
      </c>
      <c r="F409" s="48"/>
      <c r="G409" s="48"/>
      <c r="H409" s="48"/>
      <c r="I409" s="48"/>
      <c r="J409" s="17" t="s">
        <v>1139</v>
      </c>
      <c r="K409" s="18"/>
    </row>
    <row r="410" spans="1:11" ht="15" customHeight="1" x14ac:dyDescent="0.35">
      <c r="A410" s="50">
        <v>136</v>
      </c>
      <c r="B410" s="50" t="s">
        <v>1140</v>
      </c>
      <c r="C410" s="51" t="s">
        <v>1141</v>
      </c>
      <c r="D410" s="19" t="s">
        <v>1142</v>
      </c>
      <c r="E410" s="2" t="s">
        <v>16</v>
      </c>
      <c r="F410" s="51" t="s">
        <v>17</v>
      </c>
      <c r="G410" s="2" t="s">
        <v>42</v>
      </c>
      <c r="H410" s="50" t="s">
        <v>31</v>
      </c>
      <c r="I410" s="52" t="s">
        <v>20</v>
      </c>
      <c r="J410" s="20" t="s">
        <v>1143</v>
      </c>
      <c r="K410" s="10"/>
    </row>
    <row r="411" spans="1:11" x14ac:dyDescent="0.35">
      <c r="A411" s="50"/>
      <c r="B411" s="50"/>
      <c r="C411" s="50"/>
      <c r="D411" s="21" t="s">
        <v>1144</v>
      </c>
      <c r="E411" s="22" t="s">
        <v>23</v>
      </c>
      <c r="F411" s="51"/>
      <c r="G411" s="22" t="s">
        <v>294</v>
      </c>
      <c r="H411" s="50"/>
      <c r="I411" s="50"/>
      <c r="J411" s="23" t="s">
        <v>1145</v>
      </c>
      <c r="K411" s="14"/>
    </row>
    <row r="412" spans="1:11" x14ac:dyDescent="0.35">
      <c r="A412" s="50"/>
      <c r="B412" s="50"/>
      <c r="C412" s="50"/>
      <c r="D412" s="24" t="s">
        <v>1146</v>
      </c>
      <c r="E412" s="25" t="s">
        <v>23</v>
      </c>
      <c r="F412" s="51"/>
      <c r="G412" s="25" t="s">
        <v>42</v>
      </c>
      <c r="H412" s="50"/>
      <c r="I412" s="50"/>
      <c r="J412" s="26" t="s">
        <v>1147</v>
      </c>
      <c r="K412" s="18"/>
    </row>
    <row r="413" spans="1:11" ht="15" customHeight="1" x14ac:dyDescent="0.35">
      <c r="A413" s="47">
        <v>137</v>
      </c>
      <c r="B413" s="47" t="s">
        <v>1148</v>
      </c>
      <c r="C413" s="48" t="s">
        <v>1149</v>
      </c>
      <c r="D413" s="8" t="s">
        <v>1150</v>
      </c>
      <c r="E413" s="4" t="s">
        <v>16</v>
      </c>
      <c r="F413" s="48" t="s">
        <v>17</v>
      </c>
      <c r="G413" s="47" t="s">
        <v>92</v>
      </c>
      <c r="H413" s="47" t="s">
        <v>193</v>
      </c>
      <c r="I413" s="49" t="s">
        <v>20</v>
      </c>
      <c r="J413" s="9" t="s">
        <v>1151</v>
      </c>
      <c r="K413" s="10"/>
    </row>
    <row r="414" spans="1:11" x14ac:dyDescent="0.35">
      <c r="A414" s="47"/>
      <c r="B414" s="47"/>
      <c r="C414" s="47"/>
      <c r="D414" s="11" t="s">
        <v>1152</v>
      </c>
      <c r="E414" s="12" t="s">
        <v>23</v>
      </c>
      <c r="F414" s="48"/>
      <c r="G414" s="48"/>
      <c r="H414" s="48"/>
      <c r="I414" s="48"/>
      <c r="J414" s="13" t="s">
        <v>1153</v>
      </c>
      <c r="K414" s="14"/>
    </row>
    <row r="415" spans="1:11" x14ac:dyDescent="0.35">
      <c r="A415" s="47"/>
      <c r="B415" s="47"/>
      <c r="C415" s="47"/>
      <c r="D415" s="15" t="s">
        <v>1154</v>
      </c>
      <c r="E415" s="16" t="s">
        <v>23</v>
      </c>
      <c r="F415" s="48"/>
      <c r="G415" s="48"/>
      <c r="H415" s="48"/>
      <c r="I415" s="48"/>
      <c r="J415" s="17" t="s">
        <v>1155</v>
      </c>
      <c r="K415" s="18"/>
    </row>
    <row r="416" spans="1:11" ht="15" customHeight="1" x14ac:dyDescent="0.35">
      <c r="A416" s="50">
        <v>138</v>
      </c>
      <c r="B416" s="50" t="s">
        <v>1156</v>
      </c>
      <c r="C416" s="51" t="s">
        <v>1157</v>
      </c>
      <c r="D416" s="19" t="s">
        <v>1158</v>
      </c>
      <c r="E416" s="2" t="s">
        <v>16</v>
      </c>
      <c r="F416" s="51" t="s">
        <v>17</v>
      </c>
      <c r="G416" s="2" t="s">
        <v>42</v>
      </c>
      <c r="H416" s="50" t="s">
        <v>31</v>
      </c>
      <c r="I416" s="52" t="s">
        <v>20</v>
      </c>
      <c r="J416" s="20" t="s">
        <v>1159</v>
      </c>
      <c r="K416" s="10"/>
    </row>
    <row r="417" spans="1:11" x14ac:dyDescent="0.35">
      <c r="A417" s="50"/>
      <c r="B417" s="50"/>
      <c r="C417" s="50"/>
      <c r="D417" s="24" t="s">
        <v>1160</v>
      </c>
      <c r="E417" s="25" t="s">
        <v>23</v>
      </c>
      <c r="F417" s="51"/>
      <c r="G417" s="25" t="s">
        <v>30</v>
      </c>
      <c r="H417" s="50"/>
      <c r="I417" s="50"/>
      <c r="J417" s="26" t="s">
        <v>1161</v>
      </c>
      <c r="K417" s="18"/>
    </row>
    <row r="418" spans="1:11" x14ac:dyDescent="0.35">
      <c r="A418" s="27">
        <v>139</v>
      </c>
      <c r="B418" s="27" t="s">
        <v>1162</v>
      </c>
      <c r="C418" s="28" t="s">
        <v>1157</v>
      </c>
      <c r="D418" s="28" t="s">
        <v>1163</v>
      </c>
      <c r="E418" s="27" t="s">
        <v>23</v>
      </c>
      <c r="F418" s="28" t="s">
        <v>17</v>
      </c>
      <c r="G418" s="27" t="s">
        <v>30</v>
      </c>
      <c r="H418" s="27" t="s">
        <v>31</v>
      </c>
      <c r="I418" s="29" t="s">
        <v>20</v>
      </c>
      <c r="J418" s="30" t="s">
        <v>1164</v>
      </c>
      <c r="K418" s="31"/>
    </row>
    <row r="419" spans="1:11" ht="15" customHeight="1" x14ac:dyDescent="0.35">
      <c r="A419" s="50">
        <v>140</v>
      </c>
      <c r="B419" s="50" t="s">
        <v>1165</v>
      </c>
      <c r="C419" s="51" t="s">
        <v>1166</v>
      </c>
      <c r="D419" s="19" t="s">
        <v>1167</v>
      </c>
      <c r="E419" s="2" t="s">
        <v>16</v>
      </c>
      <c r="F419" s="51" t="s">
        <v>243</v>
      </c>
      <c r="G419" s="50" t="s">
        <v>92</v>
      </c>
      <c r="H419" s="50" t="s">
        <v>55</v>
      </c>
      <c r="I419" s="52" t="s">
        <v>20</v>
      </c>
      <c r="J419" s="20" t="s">
        <v>1168</v>
      </c>
      <c r="K419" s="10"/>
    </row>
    <row r="420" spans="1:11" x14ac:dyDescent="0.35">
      <c r="A420" s="50"/>
      <c r="B420" s="50"/>
      <c r="C420" s="50"/>
      <c r="D420" s="21" t="s">
        <v>1169</v>
      </c>
      <c r="E420" s="22" t="s">
        <v>23</v>
      </c>
      <c r="F420" s="51"/>
      <c r="G420" s="51"/>
      <c r="H420" s="51"/>
      <c r="I420" s="51"/>
      <c r="J420" s="23" t="s">
        <v>1170</v>
      </c>
      <c r="K420" s="14"/>
    </row>
    <row r="421" spans="1:11" x14ac:dyDescent="0.35">
      <c r="A421" s="50"/>
      <c r="B421" s="50"/>
      <c r="C421" s="50"/>
      <c r="D421" s="24" t="s">
        <v>1171</v>
      </c>
      <c r="E421" s="25" t="s">
        <v>23</v>
      </c>
      <c r="F421" s="51"/>
      <c r="G421" s="51"/>
      <c r="H421" s="51"/>
      <c r="I421" s="51"/>
      <c r="J421" s="26" t="s">
        <v>1172</v>
      </c>
      <c r="K421" s="18"/>
    </row>
    <row r="422" spans="1:11" ht="15" customHeight="1" x14ac:dyDescent="0.35">
      <c r="A422" s="47">
        <v>141</v>
      </c>
      <c r="B422" s="47" t="s">
        <v>1173</v>
      </c>
      <c r="C422" s="48" t="s">
        <v>1174</v>
      </c>
      <c r="D422" s="8" t="s">
        <v>1175</v>
      </c>
      <c r="E422" s="4" t="s">
        <v>16</v>
      </c>
      <c r="F422" s="48" t="s">
        <v>17</v>
      </c>
      <c r="G422" s="4" t="s">
        <v>42</v>
      </c>
      <c r="H422" s="47" t="s">
        <v>55</v>
      </c>
      <c r="I422" s="49" t="s">
        <v>20</v>
      </c>
      <c r="J422" s="9" t="s">
        <v>1176</v>
      </c>
      <c r="K422" s="10"/>
    </row>
    <row r="423" spans="1:11" x14ac:dyDescent="0.35">
      <c r="A423" s="47"/>
      <c r="B423" s="47"/>
      <c r="C423" s="47"/>
      <c r="D423" s="11" t="s">
        <v>1177</v>
      </c>
      <c r="E423" s="12" t="s">
        <v>23</v>
      </c>
      <c r="F423" s="48"/>
      <c r="G423" s="12" t="s">
        <v>92</v>
      </c>
      <c r="H423" s="47"/>
      <c r="I423" s="47"/>
      <c r="J423" s="13" t="s">
        <v>1178</v>
      </c>
      <c r="K423" s="14"/>
    </row>
    <row r="424" spans="1:11" x14ac:dyDescent="0.35">
      <c r="A424" s="47"/>
      <c r="B424" s="47"/>
      <c r="C424" s="47"/>
      <c r="D424" s="15" t="s">
        <v>1179</v>
      </c>
      <c r="E424" s="16" t="s">
        <v>23</v>
      </c>
      <c r="F424" s="48"/>
      <c r="G424" s="16" t="s">
        <v>42</v>
      </c>
      <c r="H424" s="47"/>
      <c r="I424" s="47"/>
      <c r="J424" s="17" t="s">
        <v>1180</v>
      </c>
      <c r="K424" s="18"/>
    </row>
    <row r="425" spans="1:11" ht="15" customHeight="1" x14ac:dyDescent="0.35">
      <c r="A425" s="50">
        <v>142</v>
      </c>
      <c r="B425" s="50" t="s">
        <v>1181</v>
      </c>
      <c r="C425" s="51" t="s">
        <v>1182</v>
      </c>
      <c r="D425" s="19" t="s">
        <v>1183</v>
      </c>
      <c r="E425" s="2" t="s">
        <v>16</v>
      </c>
      <c r="F425" s="51" t="s">
        <v>17</v>
      </c>
      <c r="G425" s="2" t="s">
        <v>30</v>
      </c>
      <c r="H425" s="50" t="s">
        <v>55</v>
      </c>
      <c r="I425" s="52" t="s">
        <v>20</v>
      </c>
      <c r="J425" s="20" t="s">
        <v>1184</v>
      </c>
      <c r="K425" s="10"/>
    </row>
    <row r="426" spans="1:11" x14ac:dyDescent="0.35">
      <c r="A426" s="50"/>
      <c r="B426" s="50"/>
      <c r="C426" s="50"/>
      <c r="D426" s="21" t="s">
        <v>1185</v>
      </c>
      <c r="E426" s="22" t="s">
        <v>23</v>
      </c>
      <c r="F426" s="51"/>
      <c r="G426" s="22" t="s">
        <v>294</v>
      </c>
      <c r="H426" s="50"/>
      <c r="I426" s="50"/>
      <c r="J426" s="23" t="s">
        <v>1186</v>
      </c>
      <c r="K426" s="14"/>
    </row>
    <row r="427" spans="1:11" x14ac:dyDescent="0.35">
      <c r="A427" s="50"/>
      <c r="B427" s="50"/>
      <c r="C427" s="50"/>
      <c r="D427" s="24" t="s">
        <v>1187</v>
      </c>
      <c r="E427" s="25" t="s">
        <v>23</v>
      </c>
      <c r="F427" s="51"/>
      <c r="G427" s="25" t="s">
        <v>30</v>
      </c>
      <c r="H427" s="50"/>
      <c r="I427" s="50"/>
      <c r="J427" s="26" t="s">
        <v>1188</v>
      </c>
      <c r="K427" s="18"/>
    </row>
    <row r="428" spans="1:11" ht="15" customHeight="1" x14ac:dyDescent="0.35">
      <c r="A428" s="47">
        <v>143</v>
      </c>
      <c r="B428" s="47" t="s">
        <v>1189</v>
      </c>
      <c r="C428" s="48" t="s">
        <v>1190</v>
      </c>
      <c r="D428" s="8" t="s">
        <v>1191</v>
      </c>
      <c r="E428" s="4" t="s">
        <v>16</v>
      </c>
      <c r="F428" s="48" t="s">
        <v>17</v>
      </c>
      <c r="G428" s="47" t="s">
        <v>42</v>
      </c>
      <c r="H428" s="47" t="s">
        <v>31</v>
      </c>
      <c r="I428" s="49" t="s">
        <v>20</v>
      </c>
      <c r="J428" s="9" t="s">
        <v>1192</v>
      </c>
      <c r="K428" s="10"/>
    </row>
    <row r="429" spans="1:11" x14ac:dyDescent="0.35">
      <c r="A429" s="47"/>
      <c r="B429" s="47"/>
      <c r="C429" s="47"/>
      <c r="D429" s="11" t="s">
        <v>1193</v>
      </c>
      <c r="E429" s="12" t="s">
        <v>23</v>
      </c>
      <c r="F429" s="48"/>
      <c r="G429" s="48"/>
      <c r="H429" s="48"/>
      <c r="I429" s="48"/>
      <c r="J429" s="13" t="s">
        <v>1194</v>
      </c>
      <c r="K429" s="14"/>
    </row>
    <row r="430" spans="1:11" x14ac:dyDescent="0.35">
      <c r="A430" s="47"/>
      <c r="B430" s="47"/>
      <c r="C430" s="47"/>
      <c r="D430" s="15" t="s">
        <v>1195</v>
      </c>
      <c r="E430" s="16" t="s">
        <v>23</v>
      </c>
      <c r="F430" s="48"/>
      <c r="G430" s="48"/>
      <c r="H430" s="48"/>
      <c r="I430" s="48"/>
      <c r="J430" s="17" t="s">
        <v>1196</v>
      </c>
      <c r="K430" s="18"/>
    </row>
    <row r="431" spans="1:11" ht="15" customHeight="1" x14ac:dyDescent="0.35">
      <c r="A431" s="50">
        <v>144</v>
      </c>
      <c r="B431" s="50" t="s">
        <v>1197</v>
      </c>
      <c r="C431" s="51" t="s">
        <v>1198</v>
      </c>
      <c r="D431" s="19" t="s">
        <v>1199</v>
      </c>
      <c r="E431" s="2" t="s">
        <v>16</v>
      </c>
      <c r="F431" s="51" t="s">
        <v>17</v>
      </c>
      <c r="G431" s="50" t="s">
        <v>92</v>
      </c>
      <c r="H431" s="50" t="s">
        <v>31</v>
      </c>
      <c r="I431" s="52" t="s">
        <v>20</v>
      </c>
      <c r="J431" s="20" t="s">
        <v>1200</v>
      </c>
      <c r="K431" s="10"/>
    </row>
    <row r="432" spans="1:11" x14ac:dyDescent="0.35">
      <c r="A432" s="50"/>
      <c r="B432" s="50"/>
      <c r="C432" s="50"/>
      <c r="D432" s="21" t="s">
        <v>1201</v>
      </c>
      <c r="E432" s="22" t="s">
        <v>23</v>
      </c>
      <c r="F432" s="51"/>
      <c r="G432" s="51"/>
      <c r="H432" s="51"/>
      <c r="I432" s="51"/>
      <c r="J432" s="23" t="s">
        <v>1202</v>
      </c>
      <c r="K432" s="14"/>
    </row>
    <row r="433" spans="1:11" x14ac:dyDescent="0.35">
      <c r="A433" s="50"/>
      <c r="B433" s="50"/>
      <c r="C433" s="50"/>
      <c r="D433" s="24" t="s">
        <v>1203</v>
      </c>
      <c r="E433" s="25" t="s">
        <v>23</v>
      </c>
      <c r="F433" s="51"/>
      <c r="G433" s="51"/>
      <c r="H433" s="51"/>
      <c r="I433" s="51"/>
      <c r="J433" s="26" t="s">
        <v>1204</v>
      </c>
      <c r="K433" s="18"/>
    </row>
    <row r="434" spans="1:11" ht="15" customHeight="1" x14ac:dyDescent="0.35">
      <c r="A434" s="47">
        <v>145</v>
      </c>
      <c r="B434" s="47" t="s">
        <v>1205</v>
      </c>
      <c r="C434" s="48" t="s">
        <v>1206</v>
      </c>
      <c r="D434" s="8" t="s">
        <v>1207</v>
      </c>
      <c r="E434" s="4" t="s">
        <v>16</v>
      </c>
      <c r="F434" s="48" t="s">
        <v>17</v>
      </c>
      <c r="G434" s="4" t="s">
        <v>324</v>
      </c>
      <c r="H434" s="47" t="s">
        <v>31</v>
      </c>
      <c r="I434" s="49" t="s">
        <v>20</v>
      </c>
      <c r="J434" s="9" t="s">
        <v>1208</v>
      </c>
      <c r="K434" s="10"/>
    </row>
    <row r="435" spans="1:11" x14ac:dyDescent="0.35">
      <c r="A435" s="47"/>
      <c r="B435" s="47"/>
      <c r="C435" s="47"/>
      <c r="D435" s="11" t="s">
        <v>1209</v>
      </c>
      <c r="E435" s="12" t="s">
        <v>23</v>
      </c>
      <c r="F435" s="48"/>
      <c r="G435" s="12" t="s">
        <v>92</v>
      </c>
      <c r="H435" s="47"/>
      <c r="I435" s="47"/>
      <c r="J435" s="13" t="s">
        <v>1210</v>
      </c>
      <c r="K435" s="14"/>
    </row>
    <row r="436" spans="1:11" x14ac:dyDescent="0.35">
      <c r="A436" s="47"/>
      <c r="B436" s="47"/>
      <c r="C436" s="47"/>
      <c r="D436" s="15" t="s">
        <v>1211</v>
      </c>
      <c r="E436" s="16" t="s">
        <v>23</v>
      </c>
      <c r="F436" s="48"/>
      <c r="G436" s="16" t="s">
        <v>300</v>
      </c>
      <c r="H436" s="47"/>
      <c r="I436" s="47"/>
      <c r="J436" s="17" t="s">
        <v>1212</v>
      </c>
      <c r="K436" s="18"/>
    </row>
    <row r="437" spans="1:11" ht="15" customHeight="1" x14ac:dyDescent="0.35">
      <c r="A437" s="50">
        <v>146</v>
      </c>
      <c r="B437" s="50" t="s">
        <v>1213</v>
      </c>
      <c r="C437" s="51" t="s">
        <v>1214</v>
      </c>
      <c r="D437" s="19" t="s">
        <v>1215</v>
      </c>
      <c r="E437" s="2" t="s">
        <v>16</v>
      </c>
      <c r="F437" s="51" t="s">
        <v>17</v>
      </c>
      <c r="G437" s="50" t="s">
        <v>92</v>
      </c>
      <c r="H437" s="50" t="s">
        <v>31</v>
      </c>
      <c r="I437" s="52" t="s">
        <v>20</v>
      </c>
      <c r="J437" s="20" t="s">
        <v>1216</v>
      </c>
      <c r="K437" s="10"/>
    </row>
    <row r="438" spans="1:11" x14ac:dyDescent="0.35">
      <c r="A438" s="50"/>
      <c r="B438" s="50"/>
      <c r="C438" s="50"/>
      <c r="D438" s="21" t="s">
        <v>1217</v>
      </c>
      <c r="E438" s="22" t="s">
        <v>23</v>
      </c>
      <c r="F438" s="51"/>
      <c r="G438" s="51"/>
      <c r="H438" s="51"/>
      <c r="I438" s="51"/>
      <c r="J438" s="23" t="s">
        <v>1218</v>
      </c>
      <c r="K438" s="14"/>
    </row>
    <row r="439" spans="1:11" x14ac:dyDescent="0.35">
      <c r="A439" s="50"/>
      <c r="B439" s="50"/>
      <c r="C439" s="50"/>
      <c r="D439" s="24" t="s">
        <v>1219</v>
      </c>
      <c r="E439" s="25" t="s">
        <v>23</v>
      </c>
      <c r="F439" s="51"/>
      <c r="G439" s="51"/>
      <c r="H439" s="51"/>
      <c r="I439" s="51"/>
      <c r="J439" s="26" t="s">
        <v>1220</v>
      </c>
      <c r="K439" s="18"/>
    </row>
    <row r="440" spans="1:11" ht="15" customHeight="1" x14ac:dyDescent="0.35">
      <c r="A440" s="47">
        <v>147</v>
      </c>
      <c r="B440" s="47" t="s">
        <v>1221</v>
      </c>
      <c r="C440" s="48" t="s">
        <v>1222</v>
      </c>
      <c r="D440" s="8" t="s">
        <v>1223</v>
      </c>
      <c r="E440" s="4" t="s">
        <v>16</v>
      </c>
      <c r="F440" s="48" t="s">
        <v>17</v>
      </c>
      <c r="G440" s="47" t="s">
        <v>92</v>
      </c>
      <c r="H440" s="47" t="s">
        <v>31</v>
      </c>
      <c r="I440" s="49" t="s">
        <v>20</v>
      </c>
      <c r="J440" s="9" t="s">
        <v>1224</v>
      </c>
      <c r="K440" s="10"/>
    </row>
    <row r="441" spans="1:11" x14ac:dyDescent="0.35">
      <c r="A441" s="47"/>
      <c r="B441" s="47"/>
      <c r="C441" s="47"/>
      <c r="D441" s="11" t="s">
        <v>1225</v>
      </c>
      <c r="E441" s="12" t="s">
        <v>23</v>
      </c>
      <c r="F441" s="48"/>
      <c r="G441" s="48"/>
      <c r="H441" s="48"/>
      <c r="I441" s="48"/>
      <c r="J441" s="13" t="s">
        <v>1226</v>
      </c>
      <c r="K441" s="14"/>
    </row>
    <row r="442" spans="1:11" x14ac:dyDescent="0.35">
      <c r="A442" s="47"/>
      <c r="B442" s="47"/>
      <c r="C442" s="47"/>
      <c r="D442" s="15" t="s">
        <v>1227</v>
      </c>
      <c r="E442" s="16" t="s">
        <v>23</v>
      </c>
      <c r="F442" s="48"/>
      <c r="G442" s="48"/>
      <c r="H442" s="48"/>
      <c r="I442" s="48"/>
      <c r="J442" s="17" t="s">
        <v>1228</v>
      </c>
      <c r="K442" s="18"/>
    </row>
    <row r="443" spans="1:11" ht="15" customHeight="1" x14ac:dyDescent="0.35">
      <c r="A443" s="50">
        <v>148</v>
      </c>
      <c r="B443" s="50" t="s">
        <v>1229</v>
      </c>
      <c r="C443" s="51" t="s">
        <v>1230</v>
      </c>
      <c r="D443" s="19" t="s">
        <v>1231</v>
      </c>
      <c r="E443" s="2" t="s">
        <v>16</v>
      </c>
      <c r="F443" s="51" t="s">
        <v>167</v>
      </c>
      <c r="G443" s="50" t="s">
        <v>92</v>
      </c>
      <c r="H443" s="50" t="s">
        <v>55</v>
      </c>
      <c r="I443" s="52" t="s">
        <v>20</v>
      </c>
      <c r="J443" s="20" t="s">
        <v>1232</v>
      </c>
      <c r="K443" s="10"/>
    </row>
    <row r="444" spans="1:11" x14ac:dyDescent="0.35">
      <c r="A444" s="50"/>
      <c r="B444" s="50"/>
      <c r="C444" s="50"/>
      <c r="D444" s="21" t="s">
        <v>1233</v>
      </c>
      <c r="E444" s="22" t="s">
        <v>23</v>
      </c>
      <c r="F444" s="51"/>
      <c r="G444" s="51"/>
      <c r="H444" s="51"/>
      <c r="I444" s="51"/>
      <c r="J444" s="23" t="s">
        <v>1234</v>
      </c>
      <c r="K444" s="14"/>
    </row>
    <row r="445" spans="1:11" x14ac:dyDescent="0.35">
      <c r="A445" s="50"/>
      <c r="B445" s="50"/>
      <c r="C445" s="50"/>
      <c r="D445" s="24" t="s">
        <v>1235</v>
      </c>
      <c r="E445" s="25" t="s">
        <v>23</v>
      </c>
      <c r="F445" s="51"/>
      <c r="G445" s="51"/>
      <c r="H445" s="51"/>
      <c r="I445" s="51"/>
      <c r="J445" s="26" t="s">
        <v>1236</v>
      </c>
      <c r="K445" s="18"/>
    </row>
    <row r="446" spans="1:11" ht="15" customHeight="1" x14ac:dyDescent="0.35">
      <c r="A446" s="47">
        <v>149</v>
      </c>
      <c r="B446" s="47" t="s">
        <v>1237</v>
      </c>
      <c r="C446" s="48" t="s">
        <v>1238</v>
      </c>
      <c r="D446" s="8" t="s">
        <v>1239</v>
      </c>
      <c r="E446" s="4" t="s">
        <v>16</v>
      </c>
      <c r="F446" s="48" t="s">
        <v>17</v>
      </c>
      <c r="G446" s="4" t="s">
        <v>30</v>
      </c>
      <c r="H446" s="47" t="s">
        <v>55</v>
      </c>
      <c r="I446" s="49" t="s">
        <v>20</v>
      </c>
      <c r="J446" s="9" t="s">
        <v>1240</v>
      </c>
      <c r="K446" s="10"/>
    </row>
    <row r="447" spans="1:11" x14ac:dyDescent="0.35">
      <c r="A447" s="47"/>
      <c r="B447" s="47"/>
      <c r="C447" s="47"/>
      <c r="D447" s="11" t="s">
        <v>1241</v>
      </c>
      <c r="E447" s="12" t="s">
        <v>23</v>
      </c>
      <c r="F447" s="48"/>
      <c r="G447" s="12" t="s">
        <v>42</v>
      </c>
      <c r="H447" s="47"/>
      <c r="I447" s="47"/>
      <c r="J447" s="13" t="s">
        <v>1242</v>
      </c>
      <c r="K447" s="14"/>
    </row>
    <row r="448" spans="1:11" x14ac:dyDescent="0.35">
      <c r="A448" s="47"/>
      <c r="B448" s="47"/>
      <c r="C448" s="47"/>
      <c r="D448" s="15" t="s">
        <v>1243</v>
      </c>
      <c r="E448" s="16" t="s">
        <v>23</v>
      </c>
      <c r="F448" s="48"/>
      <c r="G448" s="16" t="s">
        <v>30</v>
      </c>
      <c r="H448" s="47"/>
      <c r="I448" s="47"/>
      <c r="J448" s="17" t="s">
        <v>1244</v>
      </c>
      <c r="K448" s="18"/>
    </row>
    <row r="449" spans="1:11" ht="15" customHeight="1" x14ac:dyDescent="0.35">
      <c r="A449" s="50">
        <v>150</v>
      </c>
      <c r="B449" s="50" t="s">
        <v>1245</v>
      </c>
      <c r="C449" s="51" t="s">
        <v>1246</v>
      </c>
      <c r="D449" s="19" t="s">
        <v>1247</v>
      </c>
      <c r="E449" s="2" t="s">
        <v>16</v>
      </c>
      <c r="F449" s="51" t="s">
        <v>17</v>
      </c>
      <c r="G449" s="50" t="s">
        <v>42</v>
      </c>
      <c r="H449" s="50" t="s">
        <v>31</v>
      </c>
      <c r="I449" s="52" t="s">
        <v>20</v>
      </c>
      <c r="J449" s="20" t="s">
        <v>1248</v>
      </c>
      <c r="K449" s="10"/>
    </row>
    <row r="450" spans="1:11" x14ac:dyDescent="0.35">
      <c r="A450" s="50"/>
      <c r="B450" s="50"/>
      <c r="C450" s="50"/>
      <c r="D450" s="21" t="s">
        <v>1249</v>
      </c>
      <c r="E450" s="22" t="s">
        <v>23</v>
      </c>
      <c r="F450" s="51"/>
      <c r="G450" s="51"/>
      <c r="H450" s="51"/>
      <c r="I450" s="51"/>
      <c r="J450" s="23" t="s">
        <v>1250</v>
      </c>
      <c r="K450" s="14"/>
    </row>
    <row r="451" spans="1:11" x14ac:dyDescent="0.35">
      <c r="A451" s="50"/>
      <c r="B451" s="50"/>
      <c r="C451" s="50"/>
      <c r="D451" s="24" t="s">
        <v>1251</v>
      </c>
      <c r="E451" s="25" t="s">
        <v>23</v>
      </c>
      <c r="F451" s="51"/>
      <c r="G451" s="51"/>
      <c r="H451" s="51"/>
      <c r="I451" s="51"/>
      <c r="J451" s="26" t="s">
        <v>1252</v>
      </c>
      <c r="K451" s="18"/>
    </row>
    <row r="452" spans="1:11" ht="23.9" customHeight="1" x14ac:dyDescent="0.35">
      <c r="A452" s="47">
        <v>151</v>
      </c>
      <c r="B452" s="47" t="s">
        <v>1253</v>
      </c>
      <c r="C452" s="48" t="s">
        <v>1254</v>
      </c>
      <c r="D452" s="8" t="s">
        <v>1255</v>
      </c>
      <c r="E452" s="4" t="s">
        <v>16</v>
      </c>
      <c r="F452" s="48" t="s">
        <v>167</v>
      </c>
      <c r="G452" s="4" t="s">
        <v>42</v>
      </c>
      <c r="H452" s="4" t="s">
        <v>193</v>
      </c>
      <c r="I452" s="49" t="s">
        <v>20</v>
      </c>
      <c r="J452" s="9" t="s">
        <v>1256</v>
      </c>
      <c r="K452" s="10"/>
    </row>
    <row r="453" spans="1:11" ht="25" x14ac:dyDescent="0.35">
      <c r="A453" s="47"/>
      <c r="B453" s="47"/>
      <c r="C453" s="47"/>
      <c r="D453" s="11" t="s">
        <v>1257</v>
      </c>
      <c r="E453" s="12" t="s">
        <v>23</v>
      </c>
      <c r="F453" s="48"/>
      <c r="G453" s="12" t="s">
        <v>92</v>
      </c>
      <c r="H453" s="12" t="s">
        <v>55</v>
      </c>
      <c r="I453" s="49"/>
      <c r="J453" s="13" t="s">
        <v>1258</v>
      </c>
      <c r="K453" s="14"/>
    </row>
    <row r="454" spans="1:11" x14ac:dyDescent="0.35">
      <c r="A454" s="47"/>
      <c r="B454" s="47"/>
      <c r="C454" s="47"/>
      <c r="D454" s="15" t="s">
        <v>1259</v>
      </c>
      <c r="E454" s="16" t="s">
        <v>23</v>
      </c>
      <c r="F454" s="48"/>
      <c r="G454" s="16" t="s">
        <v>42</v>
      </c>
      <c r="H454" s="16" t="s">
        <v>55</v>
      </c>
      <c r="I454" s="49"/>
      <c r="J454" s="17" t="s">
        <v>1260</v>
      </c>
      <c r="K454" s="18"/>
    </row>
    <row r="455" spans="1:11" ht="15" customHeight="1" x14ac:dyDescent="0.35">
      <c r="A455" s="50">
        <v>152</v>
      </c>
      <c r="B455" s="50" t="s">
        <v>1261</v>
      </c>
      <c r="C455" s="51" t="s">
        <v>1262</v>
      </c>
      <c r="D455" s="19" t="s">
        <v>1263</v>
      </c>
      <c r="E455" s="2" t="s">
        <v>16</v>
      </c>
      <c r="F455" s="51" t="s">
        <v>1264</v>
      </c>
      <c r="G455" s="50" t="s">
        <v>30</v>
      </c>
      <c r="H455" s="50" t="s">
        <v>31</v>
      </c>
      <c r="I455" s="52" t="s">
        <v>20</v>
      </c>
      <c r="J455" s="20" t="s">
        <v>1265</v>
      </c>
      <c r="K455" s="10"/>
    </row>
    <row r="456" spans="1:11" x14ac:dyDescent="0.35">
      <c r="A456" s="50"/>
      <c r="B456" s="50"/>
      <c r="C456" s="50"/>
      <c r="D456" s="21" t="s">
        <v>1266</v>
      </c>
      <c r="E456" s="22" t="s">
        <v>23</v>
      </c>
      <c r="F456" s="51"/>
      <c r="G456" s="51"/>
      <c r="H456" s="51"/>
      <c r="I456" s="51"/>
      <c r="J456" s="23" t="s">
        <v>1267</v>
      </c>
      <c r="K456" s="14"/>
    </row>
    <row r="457" spans="1:11" x14ac:dyDescent="0.35">
      <c r="A457" s="50"/>
      <c r="B457" s="50"/>
      <c r="C457" s="50"/>
      <c r="D457" s="24" t="s">
        <v>1268</v>
      </c>
      <c r="E457" s="25" t="s">
        <v>23</v>
      </c>
      <c r="F457" s="51"/>
      <c r="G457" s="51"/>
      <c r="H457" s="51"/>
      <c r="I457" s="51"/>
      <c r="J457" s="26" t="s">
        <v>1269</v>
      </c>
      <c r="K457" s="18"/>
    </row>
    <row r="458" spans="1:11" ht="15" customHeight="1" x14ac:dyDescent="0.35">
      <c r="A458" s="47">
        <v>153</v>
      </c>
      <c r="B458" s="47" t="s">
        <v>1270</v>
      </c>
      <c r="C458" s="48" t="s">
        <v>1271</v>
      </c>
      <c r="D458" s="8" t="s">
        <v>1272</v>
      </c>
      <c r="E458" s="4" t="s">
        <v>16</v>
      </c>
      <c r="F458" s="48" t="s">
        <v>234</v>
      </c>
      <c r="G458" s="47" t="s">
        <v>42</v>
      </c>
      <c r="H458" s="47" t="s">
        <v>55</v>
      </c>
      <c r="I458" s="49" t="s">
        <v>20</v>
      </c>
      <c r="J458" s="9" t="s">
        <v>1273</v>
      </c>
      <c r="K458" s="10"/>
    </row>
    <row r="459" spans="1:11" x14ac:dyDescent="0.35">
      <c r="A459" s="47"/>
      <c r="B459" s="47"/>
      <c r="C459" s="47"/>
      <c r="D459" s="11" t="s">
        <v>1274</v>
      </c>
      <c r="E459" s="12" t="s">
        <v>23</v>
      </c>
      <c r="F459" s="48"/>
      <c r="G459" s="48"/>
      <c r="H459" s="48"/>
      <c r="I459" s="48"/>
      <c r="J459" s="13" t="s">
        <v>1275</v>
      </c>
      <c r="K459" s="14"/>
    </row>
    <row r="460" spans="1:11" x14ac:dyDescent="0.35">
      <c r="A460" s="47"/>
      <c r="B460" s="47"/>
      <c r="C460" s="47"/>
      <c r="D460" s="15" t="s">
        <v>1276</v>
      </c>
      <c r="E460" s="16" t="s">
        <v>23</v>
      </c>
      <c r="F460" s="48"/>
      <c r="G460" s="48"/>
      <c r="H460" s="48"/>
      <c r="I460" s="48"/>
      <c r="J460" s="17" t="s">
        <v>1277</v>
      </c>
      <c r="K460" s="18"/>
    </row>
    <row r="461" spans="1:11" ht="15" customHeight="1" x14ac:dyDescent="0.35">
      <c r="A461" s="50">
        <v>154</v>
      </c>
      <c r="B461" s="50" t="s">
        <v>1278</v>
      </c>
      <c r="C461" s="51" t="s">
        <v>1279</v>
      </c>
      <c r="D461" s="19" t="s">
        <v>1280</v>
      </c>
      <c r="E461" s="2" t="s">
        <v>16</v>
      </c>
      <c r="F461" s="51" t="s">
        <v>17</v>
      </c>
      <c r="G461" s="2" t="s">
        <v>30</v>
      </c>
      <c r="H461" s="50" t="s">
        <v>55</v>
      </c>
      <c r="I461" s="52" t="s">
        <v>20</v>
      </c>
      <c r="J461" s="20" t="s">
        <v>1281</v>
      </c>
      <c r="K461" s="10"/>
    </row>
    <row r="462" spans="1:11" x14ac:dyDescent="0.35">
      <c r="A462" s="50"/>
      <c r="B462" s="50"/>
      <c r="C462" s="50"/>
      <c r="D462" s="21" t="s">
        <v>1282</v>
      </c>
      <c r="E462" s="22" t="s">
        <v>23</v>
      </c>
      <c r="F462" s="51"/>
      <c r="G462" s="22" t="s">
        <v>92</v>
      </c>
      <c r="H462" s="50"/>
      <c r="I462" s="50"/>
      <c r="J462" s="23" t="s">
        <v>1283</v>
      </c>
      <c r="K462" s="14"/>
    </row>
    <row r="463" spans="1:11" x14ac:dyDescent="0.35">
      <c r="A463" s="50"/>
      <c r="B463" s="50"/>
      <c r="C463" s="50"/>
      <c r="D463" s="24" t="s">
        <v>1284</v>
      </c>
      <c r="E463" s="25" t="s">
        <v>23</v>
      </c>
      <c r="F463" s="51"/>
      <c r="G463" s="25" t="s">
        <v>30</v>
      </c>
      <c r="H463" s="50"/>
      <c r="I463" s="50"/>
      <c r="J463" s="26" t="s">
        <v>1285</v>
      </c>
      <c r="K463" s="18"/>
    </row>
    <row r="464" spans="1:11" ht="15" customHeight="1" x14ac:dyDescent="0.35">
      <c r="A464" s="47">
        <v>155</v>
      </c>
      <c r="B464" s="47" t="s">
        <v>1286</v>
      </c>
      <c r="C464" s="48" t="s">
        <v>1287</v>
      </c>
      <c r="D464" s="8" t="s">
        <v>1288</v>
      </c>
      <c r="E464" s="4" t="s">
        <v>16</v>
      </c>
      <c r="F464" s="48" t="s">
        <v>17</v>
      </c>
      <c r="G464" s="47" t="s">
        <v>294</v>
      </c>
      <c r="H464" s="47" t="s">
        <v>31</v>
      </c>
      <c r="I464" s="49" t="s">
        <v>20</v>
      </c>
      <c r="J464" s="9" t="s">
        <v>1289</v>
      </c>
      <c r="K464" s="10"/>
    </row>
    <row r="465" spans="1:11" x14ac:dyDescent="0.35">
      <c r="A465" s="47"/>
      <c r="B465" s="47"/>
      <c r="C465" s="47"/>
      <c r="D465" s="11" t="s">
        <v>1290</v>
      </c>
      <c r="E465" s="12" t="s">
        <v>23</v>
      </c>
      <c r="F465" s="48"/>
      <c r="G465" s="48"/>
      <c r="H465" s="48"/>
      <c r="I465" s="48"/>
      <c r="J465" s="13" t="s">
        <v>1291</v>
      </c>
      <c r="K465" s="14"/>
    </row>
    <row r="466" spans="1:11" x14ac:dyDescent="0.35">
      <c r="A466" s="47"/>
      <c r="B466" s="47"/>
      <c r="C466" s="47"/>
      <c r="D466" s="15" t="s">
        <v>1292</v>
      </c>
      <c r="E466" s="16" t="s">
        <v>23</v>
      </c>
      <c r="F466" s="48"/>
      <c r="G466" s="48"/>
      <c r="H466" s="48"/>
      <c r="I466" s="48"/>
      <c r="J466" s="17" t="s">
        <v>1293</v>
      </c>
      <c r="K466" s="18"/>
    </row>
    <row r="467" spans="1:11" ht="15" customHeight="1" x14ac:dyDescent="0.35">
      <c r="A467" s="50">
        <v>156</v>
      </c>
      <c r="B467" s="50" t="s">
        <v>1294</v>
      </c>
      <c r="C467" s="51" t="s">
        <v>1295</v>
      </c>
      <c r="D467" s="19" t="s">
        <v>1296</v>
      </c>
      <c r="E467" s="2" t="s">
        <v>16</v>
      </c>
      <c r="F467" s="51" t="s">
        <v>380</v>
      </c>
      <c r="G467" s="50" t="s">
        <v>30</v>
      </c>
      <c r="H467" s="50" t="s">
        <v>31</v>
      </c>
      <c r="I467" s="52" t="s">
        <v>20</v>
      </c>
      <c r="J467" s="20" t="s">
        <v>1297</v>
      </c>
      <c r="K467" s="10"/>
    </row>
    <row r="468" spans="1:11" x14ac:dyDescent="0.35">
      <c r="A468" s="50"/>
      <c r="B468" s="50"/>
      <c r="C468" s="50"/>
      <c r="D468" s="21" t="s">
        <v>1298</v>
      </c>
      <c r="E468" s="22" t="s">
        <v>23</v>
      </c>
      <c r="F468" s="51"/>
      <c r="G468" s="51"/>
      <c r="H468" s="51"/>
      <c r="I468" s="51"/>
      <c r="J468" s="23" t="s">
        <v>1299</v>
      </c>
      <c r="K468" s="14"/>
    </row>
    <row r="469" spans="1:11" x14ac:dyDescent="0.35">
      <c r="A469" s="50"/>
      <c r="B469" s="50"/>
      <c r="C469" s="50"/>
      <c r="D469" s="24" t="s">
        <v>1300</v>
      </c>
      <c r="E469" s="25" t="s">
        <v>23</v>
      </c>
      <c r="F469" s="51"/>
      <c r="G469" s="51"/>
      <c r="H469" s="51"/>
      <c r="I469" s="51"/>
      <c r="J469" s="26" t="s">
        <v>1301</v>
      </c>
      <c r="K469" s="18"/>
    </row>
    <row r="470" spans="1:11" ht="15" customHeight="1" x14ac:dyDescent="0.35">
      <c r="A470" s="47">
        <v>157</v>
      </c>
      <c r="B470" s="47" t="s">
        <v>1302</v>
      </c>
      <c r="C470" s="48" t="s">
        <v>1303</v>
      </c>
      <c r="D470" s="8" t="s">
        <v>1304</v>
      </c>
      <c r="E470" s="4" t="s">
        <v>16</v>
      </c>
      <c r="F470" s="3" t="s">
        <v>293</v>
      </c>
      <c r="G470" s="4" t="s">
        <v>30</v>
      </c>
      <c r="H470" s="47" t="s">
        <v>55</v>
      </c>
      <c r="I470" s="49" t="s">
        <v>20</v>
      </c>
      <c r="J470" s="9" t="s">
        <v>1305</v>
      </c>
      <c r="K470" s="10"/>
    </row>
    <row r="471" spans="1:11" x14ac:dyDescent="0.35">
      <c r="A471" s="47"/>
      <c r="B471" s="47"/>
      <c r="C471" s="47"/>
      <c r="D471" s="11" t="s">
        <v>1306</v>
      </c>
      <c r="E471" s="12" t="s">
        <v>23</v>
      </c>
      <c r="F471" s="11" t="s">
        <v>17</v>
      </c>
      <c r="G471" s="12" t="s">
        <v>92</v>
      </c>
      <c r="H471" s="47"/>
      <c r="I471" s="47"/>
      <c r="J471" s="13" t="s">
        <v>1307</v>
      </c>
      <c r="K471" s="14"/>
    </row>
    <row r="472" spans="1:11" x14ac:dyDescent="0.35">
      <c r="A472" s="47"/>
      <c r="B472" s="47"/>
      <c r="C472" s="47"/>
      <c r="D472" s="15" t="s">
        <v>1308</v>
      </c>
      <c r="E472" s="16" t="s">
        <v>23</v>
      </c>
      <c r="F472" s="15" t="s">
        <v>299</v>
      </c>
      <c r="G472" s="16" t="s">
        <v>92</v>
      </c>
      <c r="H472" s="47"/>
      <c r="I472" s="47"/>
      <c r="J472" s="17" t="s">
        <v>1309</v>
      </c>
      <c r="K472" s="18"/>
    </row>
    <row r="473" spans="1:11" ht="15" customHeight="1" x14ac:dyDescent="0.35">
      <c r="A473" s="50">
        <v>158</v>
      </c>
      <c r="B473" s="50" t="s">
        <v>1310</v>
      </c>
      <c r="C473" s="51" t="s">
        <v>1311</v>
      </c>
      <c r="D473" s="19" t="s">
        <v>1312</v>
      </c>
      <c r="E473" s="2" t="s">
        <v>16</v>
      </c>
      <c r="F473" s="51" t="s">
        <v>897</v>
      </c>
      <c r="G473" s="50" t="s">
        <v>92</v>
      </c>
      <c r="H473" s="50" t="s">
        <v>55</v>
      </c>
      <c r="I473" s="52" t="s">
        <v>20</v>
      </c>
      <c r="J473" s="20" t="s">
        <v>1313</v>
      </c>
      <c r="K473" s="10"/>
    </row>
    <row r="474" spans="1:11" x14ac:dyDescent="0.35">
      <c r="A474" s="50"/>
      <c r="B474" s="50"/>
      <c r="C474" s="50"/>
      <c r="D474" s="21" t="s">
        <v>1314</v>
      </c>
      <c r="E474" s="22" t="s">
        <v>23</v>
      </c>
      <c r="F474" s="51"/>
      <c r="G474" s="51"/>
      <c r="H474" s="51"/>
      <c r="I474" s="51"/>
      <c r="J474" s="23" t="s">
        <v>1315</v>
      </c>
      <c r="K474" s="14"/>
    </row>
    <row r="475" spans="1:11" x14ac:dyDescent="0.35">
      <c r="A475" s="50"/>
      <c r="B475" s="50"/>
      <c r="C475" s="50"/>
      <c r="D475" s="24" t="s">
        <v>1316</v>
      </c>
      <c r="E475" s="25" t="s">
        <v>23</v>
      </c>
      <c r="F475" s="51"/>
      <c r="G475" s="51"/>
      <c r="H475" s="51"/>
      <c r="I475" s="51"/>
      <c r="J475" s="26" t="s">
        <v>1317</v>
      </c>
      <c r="K475" s="18"/>
    </row>
    <row r="476" spans="1:11" ht="15" customHeight="1" x14ac:dyDescent="0.35">
      <c r="A476" s="47">
        <v>159</v>
      </c>
      <c r="B476" s="47" t="s">
        <v>1318</v>
      </c>
      <c r="C476" s="48" t="s">
        <v>1319</v>
      </c>
      <c r="D476" s="8" t="s">
        <v>1320</v>
      </c>
      <c r="E476" s="4" t="s">
        <v>16</v>
      </c>
      <c r="F476" s="48" t="s">
        <v>553</v>
      </c>
      <c r="G476" s="47" t="s">
        <v>42</v>
      </c>
      <c r="H476" s="47" t="s">
        <v>193</v>
      </c>
      <c r="I476" s="49" t="s">
        <v>20</v>
      </c>
      <c r="J476" s="9" t="s">
        <v>1321</v>
      </c>
      <c r="K476" s="10"/>
    </row>
    <row r="477" spans="1:11" x14ac:dyDescent="0.35">
      <c r="A477" s="47"/>
      <c r="B477" s="47"/>
      <c r="C477" s="47"/>
      <c r="D477" s="11" t="s">
        <v>1322</v>
      </c>
      <c r="E477" s="12" t="s">
        <v>23</v>
      </c>
      <c r="F477" s="48"/>
      <c r="G477" s="48"/>
      <c r="H477" s="48"/>
      <c r="I477" s="48"/>
      <c r="J477" s="13" t="s">
        <v>1323</v>
      </c>
      <c r="K477" s="14"/>
    </row>
    <row r="478" spans="1:11" x14ac:dyDescent="0.35">
      <c r="A478" s="47"/>
      <c r="B478" s="47"/>
      <c r="C478" s="47"/>
      <c r="D478" s="15" t="s">
        <v>1324</v>
      </c>
      <c r="E478" s="16" t="s">
        <v>23</v>
      </c>
      <c r="F478" s="48"/>
      <c r="G478" s="48"/>
      <c r="H478" s="48"/>
      <c r="I478" s="48"/>
      <c r="J478" s="17" t="s">
        <v>1325</v>
      </c>
      <c r="K478" s="18"/>
    </row>
    <row r="479" spans="1:11" ht="15" customHeight="1" x14ac:dyDescent="0.35">
      <c r="A479" s="50">
        <v>160</v>
      </c>
      <c r="B479" s="50" t="s">
        <v>1326</v>
      </c>
      <c r="C479" s="51" t="s">
        <v>1327</v>
      </c>
      <c r="D479" s="19" t="s">
        <v>1328</v>
      </c>
      <c r="E479" s="2" t="s">
        <v>16</v>
      </c>
      <c r="F479" s="51" t="s">
        <v>17</v>
      </c>
      <c r="G479" s="50" t="s">
        <v>92</v>
      </c>
      <c r="H479" s="50" t="s">
        <v>55</v>
      </c>
      <c r="I479" s="52" t="s">
        <v>20</v>
      </c>
      <c r="J479" s="20" t="s">
        <v>1329</v>
      </c>
      <c r="K479" s="10"/>
    </row>
    <row r="480" spans="1:11" x14ac:dyDescent="0.35">
      <c r="A480" s="50"/>
      <c r="B480" s="50"/>
      <c r="C480" s="50"/>
      <c r="D480" s="21" t="s">
        <v>1330</v>
      </c>
      <c r="E480" s="22" t="s">
        <v>23</v>
      </c>
      <c r="F480" s="51"/>
      <c r="G480" s="51"/>
      <c r="H480" s="51"/>
      <c r="I480" s="51"/>
      <c r="J480" s="23" t="s">
        <v>1331</v>
      </c>
      <c r="K480" s="14"/>
    </row>
    <row r="481" spans="1:11" x14ac:dyDescent="0.35">
      <c r="A481" s="50"/>
      <c r="B481" s="50"/>
      <c r="C481" s="50"/>
      <c r="D481" s="24" t="s">
        <v>1332</v>
      </c>
      <c r="E481" s="25" t="s">
        <v>23</v>
      </c>
      <c r="F481" s="51"/>
      <c r="G481" s="51"/>
      <c r="H481" s="51"/>
      <c r="I481" s="51"/>
      <c r="J481" s="26" t="s">
        <v>1333</v>
      </c>
      <c r="K481" s="18"/>
    </row>
    <row r="482" spans="1:11" ht="15" customHeight="1" x14ac:dyDescent="0.35">
      <c r="A482" s="47">
        <v>161</v>
      </c>
      <c r="B482" s="47" t="s">
        <v>1334</v>
      </c>
      <c r="C482" s="48" t="s">
        <v>1327</v>
      </c>
      <c r="D482" s="8" t="s">
        <v>1335</v>
      </c>
      <c r="E482" s="4" t="s">
        <v>16</v>
      </c>
      <c r="F482" s="3" t="s">
        <v>17</v>
      </c>
      <c r="G482" s="47" t="s">
        <v>42</v>
      </c>
      <c r="H482" s="47" t="s">
        <v>19</v>
      </c>
      <c r="I482" s="49" t="s">
        <v>20</v>
      </c>
      <c r="J482" s="9" t="s">
        <v>1336</v>
      </c>
      <c r="K482" s="10"/>
    </row>
    <row r="483" spans="1:11" x14ac:dyDescent="0.35">
      <c r="A483" s="47"/>
      <c r="B483" s="47"/>
      <c r="C483" s="47"/>
      <c r="D483" s="11" t="s">
        <v>1337</v>
      </c>
      <c r="E483" s="12" t="s">
        <v>23</v>
      </c>
      <c r="F483" s="11" t="s">
        <v>17</v>
      </c>
      <c r="G483" s="47"/>
      <c r="H483" s="47"/>
      <c r="I483" s="47"/>
      <c r="J483" s="13" t="s">
        <v>1338</v>
      </c>
      <c r="K483" s="14"/>
    </row>
    <row r="484" spans="1:11" x14ac:dyDescent="0.35">
      <c r="A484" s="47"/>
      <c r="B484" s="47"/>
      <c r="C484" s="47"/>
      <c r="D484" s="15" t="s">
        <v>1339</v>
      </c>
      <c r="E484" s="16" t="s">
        <v>23</v>
      </c>
      <c r="F484" s="15" t="s">
        <v>133</v>
      </c>
      <c r="G484" s="47"/>
      <c r="H484" s="47"/>
      <c r="I484" s="47"/>
      <c r="J484" s="17" t="s">
        <v>1340</v>
      </c>
      <c r="K484" s="18"/>
    </row>
    <row r="485" spans="1:11" ht="23.9" customHeight="1" x14ac:dyDescent="0.35">
      <c r="A485" s="50">
        <v>162</v>
      </c>
      <c r="B485" s="50" t="s">
        <v>1341</v>
      </c>
      <c r="C485" s="51" t="s">
        <v>1327</v>
      </c>
      <c r="D485" s="19" t="s">
        <v>1342</v>
      </c>
      <c r="E485" s="2" t="s">
        <v>16</v>
      </c>
      <c r="F485" s="51" t="s">
        <v>17</v>
      </c>
      <c r="G485" s="50" t="s">
        <v>92</v>
      </c>
      <c r="H485" s="50" t="s">
        <v>193</v>
      </c>
      <c r="I485" s="52" t="s">
        <v>20</v>
      </c>
      <c r="J485" s="20" t="s">
        <v>1343</v>
      </c>
      <c r="K485" s="10"/>
    </row>
    <row r="486" spans="1:11" x14ac:dyDescent="0.35">
      <c r="A486" s="50"/>
      <c r="B486" s="50"/>
      <c r="C486" s="50"/>
      <c r="D486" s="21" t="s">
        <v>1344</v>
      </c>
      <c r="E486" s="22" t="s">
        <v>23</v>
      </c>
      <c r="F486" s="51"/>
      <c r="G486" s="51"/>
      <c r="H486" s="51"/>
      <c r="I486" s="51"/>
      <c r="J486" s="23" t="s">
        <v>1345</v>
      </c>
      <c r="K486" s="14"/>
    </row>
    <row r="487" spans="1:11" x14ac:dyDescent="0.35">
      <c r="A487" s="50"/>
      <c r="B487" s="50"/>
      <c r="C487" s="50"/>
      <c r="D487" s="24" t="s">
        <v>1346</v>
      </c>
      <c r="E487" s="25" t="s">
        <v>23</v>
      </c>
      <c r="F487" s="51"/>
      <c r="G487" s="51"/>
      <c r="H487" s="51"/>
      <c r="I487" s="51"/>
      <c r="J487" s="26" t="s">
        <v>1347</v>
      </c>
      <c r="K487" s="18"/>
    </row>
    <row r="488" spans="1:11" ht="15" customHeight="1" x14ac:dyDescent="0.35">
      <c r="A488" s="47">
        <v>163</v>
      </c>
      <c r="B488" s="47" t="s">
        <v>1348</v>
      </c>
      <c r="C488" s="48" t="s">
        <v>1349</v>
      </c>
      <c r="D488" s="8" t="s">
        <v>1350</v>
      </c>
      <c r="E488" s="4" t="s">
        <v>16</v>
      </c>
      <c r="F488" s="48" t="s">
        <v>17</v>
      </c>
      <c r="G488" s="47" t="s">
        <v>92</v>
      </c>
      <c r="H488" s="47" t="s">
        <v>19</v>
      </c>
      <c r="I488" s="49" t="s">
        <v>20</v>
      </c>
      <c r="J488" s="9" t="s">
        <v>1351</v>
      </c>
      <c r="K488" s="10"/>
    </row>
    <row r="489" spans="1:11" x14ac:dyDescent="0.35">
      <c r="A489" s="47"/>
      <c r="B489" s="47"/>
      <c r="C489" s="47"/>
      <c r="D489" s="11" t="s">
        <v>1352</v>
      </c>
      <c r="E489" s="12" t="s">
        <v>23</v>
      </c>
      <c r="F489" s="48"/>
      <c r="G489" s="48"/>
      <c r="H489" s="48"/>
      <c r="I489" s="48"/>
      <c r="J489" s="13" t="s">
        <v>1353</v>
      </c>
      <c r="K489" s="14"/>
    </row>
    <row r="490" spans="1:11" x14ac:dyDescent="0.35">
      <c r="A490" s="47"/>
      <c r="B490" s="47"/>
      <c r="C490" s="47"/>
      <c r="D490" s="15" t="s">
        <v>1354</v>
      </c>
      <c r="E490" s="16" t="s">
        <v>23</v>
      </c>
      <c r="F490" s="48"/>
      <c r="G490" s="48"/>
      <c r="H490" s="48"/>
      <c r="I490" s="48"/>
      <c r="J490" s="17" t="s">
        <v>1355</v>
      </c>
      <c r="K490" s="18"/>
    </row>
    <row r="491" spans="1:11" ht="15" customHeight="1" x14ac:dyDescent="0.35">
      <c r="A491" s="50">
        <v>164</v>
      </c>
      <c r="B491" s="50" t="s">
        <v>1356</v>
      </c>
      <c r="C491" s="51" t="s">
        <v>1357</v>
      </c>
      <c r="D491" s="19" t="s">
        <v>1358</v>
      </c>
      <c r="E491" s="2" t="s">
        <v>16</v>
      </c>
      <c r="F491" s="51" t="s">
        <v>17</v>
      </c>
      <c r="G491" s="50" t="s">
        <v>30</v>
      </c>
      <c r="H491" s="50" t="s">
        <v>31</v>
      </c>
      <c r="I491" s="52" t="s">
        <v>20</v>
      </c>
      <c r="J491" s="20" t="s">
        <v>1359</v>
      </c>
      <c r="K491" s="10"/>
    </row>
    <row r="492" spans="1:11" x14ac:dyDescent="0.35">
      <c r="A492" s="50"/>
      <c r="B492" s="50"/>
      <c r="C492" s="50"/>
      <c r="D492" s="21" t="s">
        <v>1360</v>
      </c>
      <c r="E492" s="22" t="s">
        <v>23</v>
      </c>
      <c r="F492" s="51"/>
      <c r="G492" s="51"/>
      <c r="H492" s="51"/>
      <c r="I492" s="51"/>
      <c r="J492" s="23" t="s">
        <v>1361</v>
      </c>
      <c r="K492" s="14"/>
    </row>
    <row r="493" spans="1:11" x14ac:dyDescent="0.35">
      <c r="A493" s="50"/>
      <c r="B493" s="50"/>
      <c r="C493" s="50"/>
      <c r="D493" s="24" t="s">
        <v>1362</v>
      </c>
      <c r="E493" s="25" t="s">
        <v>23</v>
      </c>
      <c r="F493" s="51"/>
      <c r="G493" s="51"/>
      <c r="H493" s="51"/>
      <c r="I493" s="51"/>
      <c r="J493" s="26" t="s">
        <v>1363</v>
      </c>
      <c r="K493" s="18"/>
    </row>
    <row r="494" spans="1:11" ht="15" customHeight="1" x14ac:dyDescent="0.35">
      <c r="A494" s="47">
        <v>165</v>
      </c>
      <c r="B494" s="47" t="s">
        <v>1364</v>
      </c>
      <c r="C494" s="48" t="s">
        <v>1365</v>
      </c>
      <c r="D494" s="8" t="s">
        <v>1366</v>
      </c>
      <c r="E494" s="4" t="s">
        <v>16</v>
      </c>
      <c r="F494" s="48" t="s">
        <v>17</v>
      </c>
      <c r="G494" s="47" t="s">
        <v>42</v>
      </c>
      <c r="H494" s="47" t="s">
        <v>31</v>
      </c>
      <c r="I494" s="49" t="s">
        <v>20</v>
      </c>
      <c r="J494" s="9" t="s">
        <v>1367</v>
      </c>
      <c r="K494" s="10"/>
    </row>
    <row r="495" spans="1:11" x14ac:dyDescent="0.35">
      <c r="A495" s="47"/>
      <c r="B495" s="47"/>
      <c r="C495" s="47"/>
      <c r="D495" s="11" t="s">
        <v>1368</v>
      </c>
      <c r="E495" s="12" t="s">
        <v>23</v>
      </c>
      <c r="F495" s="48"/>
      <c r="G495" s="48"/>
      <c r="H495" s="48"/>
      <c r="I495" s="48"/>
      <c r="J495" s="13" t="s">
        <v>1369</v>
      </c>
      <c r="K495" s="14"/>
    </row>
    <row r="496" spans="1:11" x14ac:dyDescent="0.35">
      <c r="A496" s="47"/>
      <c r="B496" s="47"/>
      <c r="C496" s="47"/>
      <c r="D496" s="15" t="s">
        <v>1370</v>
      </c>
      <c r="E496" s="16" t="s">
        <v>23</v>
      </c>
      <c r="F496" s="48"/>
      <c r="G496" s="48"/>
      <c r="H496" s="48"/>
      <c r="I496" s="48"/>
      <c r="J496" s="17" t="s">
        <v>1371</v>
      </c>
      <c r="K496" s="18"/>
    </row>
    <row r="497" spans="1:11" ht="15" customHeight="1" x14ac:dyDescent="0.35">
      <c r="A497" s="50">
        <v>166</v>
      </c>
      <c r="B497" s="50" t="s">
        <v>1372</v>
      </c>
      <c r="C497" s="51" t="s">
        <v>1373</v>
      </c>
      <c r="D497" s="19" t="s">
        <v>1374</v>
      </c>
      <c r="E497" s="2" t="s">
        <v>16</v>
      </c>
      <c r="F497" s="51" t="s">
        <v>17</v>
      </c>
      <c r="G497" s="50" t="s">
        <v>42</v>
      </c>
      <c r="H497" s="50" t="s">
        <v>31</v>
      </c>
      <c r="I497" s="52" t="s">
        <v>20</v>
      </c>
      <c r="J497" s="20" t="s">
        <v>1375</v>
      </c>
      <c r="K497" s="10"/>
    </row>
    <row r="498" spans="1:11" x14ac:dyDescent="0.35">
      <c r="A498" s="50"/>
      <c r="B498" s="50"/>
      <c r="C498" s="50"/>
      <c r="D498" s="21" t="s">
        <v>1376</v>
      </c>
      <c r="E498" s="22" t="s">
        <v>23</v>
      </c>
      <c r="F498" s="51"/>
      <c r="G498" s="51"/>
      <c r="H498" s="51"/>
      <c r="I498" s="51"/>
      <c r="J498" s="23" t="s">
        <v>1377</v>
      </c>
      <c r="K498" s="14"/>
    </row>
    <row r="499" spans="1:11" x14ac:dyDescent="0.35">
      <c r="A499" s="50"/>
      <c r="B499" s="50"/>
      <c r="C499" s="50"/>
      <c r="D499" s="24" t="s">
        <v>1378</v>
      </c>
      <c r="E499" s="25" t="s">
        <v>23</v>
      </c>
      <c r="F499" s="51"/>
      <c r="G499" s="51"/>
      <c r="H499" s="51"/>
      <c r="I499" s="51"/>
      <c r="J499" s="26" t="s">
        <v>1379</v>
      </c>
      <c r="K499" s="18"/>
    </row>
    <row r="500" spans="1:11" ht="15" customHeight="1" x14ac:dyDescent="0.35">
      <c r="A500" s="47">
        <v>167</v>
      </c>
      <c r="B500" s="47" t="s">
        <v>1380</v>
      </c>
      <c r="C500" s="48" t="s">
        <v>1381</v>
      </c>
      <c r="D500" s="8" t="s">
        <v>1382</v>
      </c>
      <c r="E500" s="4" t="s">
        <v>16</v>
      </c>
      <c r="F500" s="3" t="s">
        <v>17</v>
      </c>
      <c r="G500" s="4" t="s">
        <v>30</v>
      </c>
      <c r="H500" s="47" t="s">
        <v>31</v>
      </c>
      <c r="I500" s="49" t="s">
        <v>20</v>
      </c>
      <c r="J500" s="9" t="s">
        <v>1383</v>
      </c>
      <c r="K500" s="10"/>
    </row>
    <row r="501" spans="1:11" x14ac:dyDescent="0.35">
      <c r="A501" s="47"/>
      <c r="B501" s="47"/>
      <c r="C501" s="47"/>
      <c r="D501" s="11" t="s">
        <v>1384</v>
      </c>
      <c r="E501" s="12" t="s">
        <v>23</v>
      </c>
      <c r="F501" s="11" t="s">
        <v>17</v>
      </c>
      <c r="G501" s="12" t="s">
        <v>30</v>
      </c>
      <c r="H501" s="47"/>
      <c r="I501" s="47"/>
      <c r="J501" s="13" t="s">
        <v>1385</v>
      </c>
      <c r="K501" s="14"/>
    </row>
    <row r="502" spans="1:11" ht="25" x14ac:dyDescent="0.35">
      <c r="A502" s="47"/>
      <c r="B502" s="47"/>
      <c r="C502" s="47"/>
      <c r="D502" s="15" t="s">
        <v>1386</v>
      </c>
      <c r="E502" s="16" t="s">
        <v>23</v>
      </c>
      <c r="F502" s="15" t="s">
        <v>234</v>
      </c>
      <c r="G502" s="16" t="s">
        <v>42</v>
      </c>
      <c r="H502" s="47"/>
      <c r="I502" s="47"/>
      <c r="J502" s="17" t="s">
        <v>1387</v>
      </c>
      <c r="K502" s="18"/>
    </row>
    <row r="503" spans="1:11" ht="15" customHeight="1" x14ac:dyDescent="0.35">
      <c r="A503" s="50">
        <v>168</v>
      </c>
      <c r="B503" s="50" t="s">
        <v>1388</v>
      </c>
      <c r="C503" s="51" t="s">
        <v>1389</v>
      </c>
      <c r="D503" s="19" t="s">
        <v>1390</v>
      </c>
      <c r="E503" s="2" t="s">
        <v>16</v>
      </c>
      <c r="F503" s="51" t="s">
        <v>17</v>
      </c>
      <c r="G503" s="2" t="s">
        <v>92</v>
      </c>
      <c r="H503" s="50" t="s">
        <v>31</v>
      </c>
      <c r="I503" s="52" t="s">
        <v>20</v>
      </c>
      <c r="J503" s="20" t="s">
        <v>1391</v>
      </c>
      <c r="K503" s="10"/>
    </row>
    <row r="504" spans="1:11" x14ac:dyDescent="0.35">
      <c r="A504" s="50"/>
      <c r="B504" s="50"/>
      <c r="C504" s="50"/>
      <c r="D504" s="21" t="s">
        <v>1392</v>
      </c>
      <c r="E504" s="22" t="s">
        <v>23</v>
      </c>
      <c r="F504" s="51"/>
      <c r="G504" s="22" t="s">
        <v>92</v>
      </c>
      <c r="H504" s="50"/>
      <c r="I504" s="50"/>
      <c r="J504" s="23" t="s">
        <v>1393</v>
      </c>
      <c r="K504" s="14"/>
    </row>
    <row r="505" spans="1:11" x14ac:dyDescent="0.35">
      <c r="A505" s="50"/>
      <c r="B505" s="50"/>
      <c r="C505" s="50"/>
      <c r="D505" s="24" t="s">
        <v>1394</v>
      </c>
      <c r="E505" s="25" t="s">
        <v>23</v>
      </c>
      <c r="F505" s="51"/>
      <c r="G505" s="25" t="s">
        <v>42</v>
      </c>
      <c r="H505" s="50"/>
      <c r="I505" s="50"/>
      <c r="J505" s="26" t="s">
        <v>1395</v>
      </c>
      <c r="K505" s="18"/>
    </row>
    <row r="506" spans="1:11" ht="15" customHeight="1" x14ac:dyDescent="0.35">
      <c r="A506" s="47">
        <v>169</v>
      </c>
      <c r="B506" s="47" t="s">
        <v>1396</v>
      </c>
      <c r="C506" s="48" t="s">
        <v>1397</v>
      </c>
      <c r="D506" s="8" t="s">
        <v>1398</v>
      </c>
      <c r="E506" s="4" t="s">
        <v>16</v>
      </c>
      <c r="F506" s="48" t="s">
        <v>320</v>
      </c>
      <c r="G506" s="4" t="s">
        <v>30</v>
      </c>
      <c r="H506" s="4" t="s">
        <v>31</v>
      </c>
      <c r="I506" s="49" t="s">
        <v>20</v>
      </c>
      <c r="J506" s="9" t="s">
        <v>1399</v>
      </c>
      <c r="K506" s="10"/>
    </row>
    <row r="507" spans="1:11" x14ac:dyDescent="0.35">
      <c r="A507" s="47"/>
      <c r="B507" s="47"/>
      <c r="C507" s="47"/>
      <c r="D507" s="11" t="s">
        <v>1400</v>
      </c>
      <c r="E507" s="12" t="s">
        <v>23</v>
      </c>
      <c r="F507" s="48"/>
      <c r="G507" s="12" t="s">
        <v>92</v>
      </c>
      <c r="H507" s="12" t="s">
        <v>31</v>
      </c>
      <c r="I507" s="49"/>
      <c r="J507" s="13" t="s">
        <v>1401</v>
      </c>
      <c r="K507" s="14"/>
    </row>
    <row r="508" spans="1:11" x14ac:dyDescent="0.35">
      <c r="A508" s="47"/>
      <c r="B508" s="47"/>
      <c r="C508" s="47"/>
      <c r="D508" s="15" t="s">
        <v>1402</v>
      </c>
      <c r="E508" s="16" t="s">
        <v>23</v>
      </c>
      <c r="F508" s="48"/>
      <c r="G508" s="16" t="s">
        <v>30</v>
      </c>
      <c r="H508" s="16" t="s">
        <v>193</v>
      </c>
      <c r="I508" s="49"/>
      <c r="J508" s="17" t="s">
        <v>1403</v>
      </c>
      <c r="K508" s="18"/>
    </row>
    <row r="509" spans="1:11" ht="15" customHeight="1" x14ac:dyDescent="0.35">
      <c r="A509" s="50">
        <v>170</v>
      </c>
      <c r="B509" s="50" t="s">
        <v>1404</v>
      </c>
      <c r="C509" s="51" t="s">
        <v>1405</v>
      </c>
      <c r="D509" s="19" t="s">
        <v>1406</v>
      </c>
      <c r="E509" s="2" t="s">
        <v>16</v>
      </c>
      <c r="F509" s="51" t="s">
        <v>17</v>
      </c>
      <c r="G509" s="50" t="s">
        <v>42</v>
      </c>
      <c r="H509" s="50" t="s">
        <v>55</v>
      </c>
      <c r="I509" s="52" t="s">
        <v>20</v>
      </c>
      <c r="J509" s="20" t="s">
        <v>1407</v>
      </c>
      <c r="K509" s="10"/>
    </row>
    <row r="510" spans="1:11" x14ac:dyDescent="0.35">
      <c r="A510" s="50"/>
      <c r="B510" s="50"/>
      <c r="C510" s="50"/>
      <c r="D510" s="21" t="s">
        <v>1408</v>
      </c>
      <c r="E510" s="22" t="s">
        <v>23</v>
      </c>
      <c r="F510" s="51"/>
      <c r="G510" s="51"/>
      <c r="H510" s="51"/>
      <c r="I510" s="51"/>
      <c r="J510" s="23" t="s">
        <v>1409</v>
      </c>
      <c r="K510" s="14"/>
    </row>
    <row r="511" spans="1:11" x14ac:dyDescent="0.35">
      <c r="A511" s="50"/>
      <c r="B511" s="50"/>
      <c r="C511" s="50"/>
      <c r="D511" s="24" t="s">
        <v>1410</v>
      </c>
      <c r="E511" s="25" t="s">
        <v>23</v>
      </c>
      <c r="F511" s="51"/>
      <c r="G511" s="51"/>
      <c r="H511" s="51"/>
      <c r="I511" s="51"/>
      <c r="J511" s="26" t="s">
        <v>1411</v>
      </c>
      <c r="K511" s="18"/>
    </row>
    <row r="512" spans="1:11" ht="15" customHeight="1" x14ac:dyDescent="0.35">
      <c r="A512" s="47">
        <v>171</v>
      </c>
      <c r="B512" s="47" t="s">
        <v>1412</v>
      </c>
      <c r="C512" s="48" t="s">
        <v>1413</v>
      </c>
      <c r="D512" s="8" t="s">
        <v>1414</v>
      </c>
      <c r="E512" s="4" t="s">
        <v>16</v>
      </c>
      <c r="F512" s="48" t="s">
        <v>17</v>
      </c>
      <c r="G512" s="4" t="s">
        <v>30</v>
      </c>
      <c r="H512" s="4" t="s">
        <v>55</v>
      </c>
      <c r="I512" s="49" t="s">
        <v>20</v>
      </c>
      <c r="J512" s="9" t="s">
        <v>1415</v>
      </c>
      <c r="K512" s="10"/>
    </row>
    <row r="513" spans="1:11" x14ac:dyDescent="0.35">
      <c r="A513" s="47"/>
      <c r="B513" s="47"/>
      <c r="C513" s="47"/>
      <c r="D513" s="11" t="s">
        <v>1416</v>
      </c>
      <c r="E513" s="12" t="s">
        <v>23</v>
      </c>
      <c r="F513" s="48"/>
      <c r="G513" s="12" t="s">
        <v>30</v>
      </c>
      <c r="H513" s="12" t="s">
        <v>55</v>
      </c>
      <c r="I513" s="49"/>
      <c r="J513" s="13" t="s">
        <v>1417</v>
      </c>
      <c r="K513" s="14"/>
    </row>
    <row r="514" spans="1:11" x14ac:dyDescent="0.35">
      <c r="A514" s="47"/>
      <c r="B514" s="47"/>
      <c r="C514" s="47"/>
      <c r="D514" s="15" t="s">
        <v>1418</v>
      </c>
      <c r="E514" s="16" t="s">
        <v>23</v>
      </c>
      <c r="F514" s="48"/>
      <c r="G514" s="16" t="s">
        <v>37</v>
      </c>
      <c r="H514" s="16" t="s">
        <v>193</v>
      </c>
      <c r="I514" s="49"/>
      <c r="J514" s="17" t="s">
        <v>1419</v>
      </c>
      <c r="K514" s="18"/>
    </row>
    <row r="515" spans="1:11" ht="23.9" customHeight="1" x14ac:dyDescent="0.35">
      <c r="A515" s="50">
        <v>172</v>
      </c>
      <c r="B515" s="50" t="s">
        <v>1420</v>
      </c>
      <c r="C515" s="51" t="s">
        <v>1421</v>
      </c>
      <c r="D515" s="19" t="s">
        <v>1422</v>
      </c>
      <c r="E515" s="2" t="s">
        <v>16</v>
      </c>
      <c r="F515" s="51" t="s">
        <v>438</v>
      </c>
      <c r="G515" s="2" t="s">
        <v>324</v>
      </c>
      <c r="H515" s="50" t="s">
        <v>19</v>
      </c>
      <c r="I515" s="52" t="s">
        <v>20</v>
      </c>
      <c r="J515" s="20" t="s">
        <v>1423</v>
      </c>
      <c r="K515" s="10"/>
    </row>
    <row r="516" spans="1:11" ht="25" x14ac:dyDescent="0.35">
      <c r="A516" s="50"/>
      <c r="B516" s="50"/>
      <c r="C516" s="50"/>
      <c r="D516" s="21" t="s">
        <v>1424</v>
      </c>
      <c r="E516" s="22" t="s">
        <v>23</v>
      </c>
      <c r="F516" s="51"/>
      <c r="G516" s="22" t="s">
        <v>92</v>
      </c>
      <c r="H516" s="50"/>
      <c r="I516" s="50"/>
      <c r="J516" s="23" t="s">
        <v>1425</v>
      </c>
      <c r="K516" s="14"/>
    </row>
    <row r="517" spans="1:11" x14ac:dyDescent="0.35">
      <c r="A517" s="50"/>
      <c r="B517" s="50"/>
      <c r="C517" s="50"/>
      <c r="D517" s="24" t="s">
        <v>1426</v>
      </c>
      <c r="E517" s="25" t="s">
        <v>23</v>
      </c>
      <c r="F517" s="51"/>
      <c r="G517" s="25" t="s">
        <v>42</v>
      </c>
      <c r="H517" s="50"/>
      <c r="I517" s="50"/>
      <c r="J517" s="26" t="s">
        <v>1427</v>
      </c>
      <c r="K517" s="18"/>
    </row>
    <row r="518" spans="1:11" ht="15" customHeight="1" x14ac:dyDescent="0.35">
      <c r="A518" s="47">
        <v>173</v>
      </c>
      <c r="B518" s="47" t="s">
        <v>1428</v>
      </c>
      <c r="C518" s="48" t="s">
        <v>1429</v>
      </c>
      <c r="D518" s="8" t="s">
        <v>1430</v>
      </c>
      <c r="E518" s="4" t="s">
        <v>16</v>
      </c>
      <c r="F518" s="48" t="s">
        <v>17</v>
      </c>
      <c r="G518" s="47" t="s">
        <v>42</v>
      </c>
      <c r="H518" s="47" t="s">
        <v>31</v>
      </c>
      <c r="I518" s="49" t="s">
        <v>20</v>
      </c>
      <c r="J518" s="9" t="s">
        <v>1431</v>
      </c>
      <c r="K518" s="10"/>
    </row>
    <row r="519" spans="1:11" x14ac:dyDescent="0.35">
      <c r="A519" s="47"/>
      <c r="B519" s="47"/>
      <c r="C519" s="47"/>
      <c r="D519" s="11" t="s">
        <v>1432</v>
      </c>
      <c r="E519" s="12" t="s">
        <v>23</v>
      </c>
      <c r="F519" s="48"/>
      <c r="G519" s="48"/>
      <c r="H519" s="48"/>
      <c r="I519" s="48"/>
      <c r="J519" s="13" t="s">
        <v>1433</v>
      </c>
      <c r="K519" s="14"/>
    </row>
    <row r="520" spans="1:11" x14ac:dyDescent="0.35">
      <c r="A520" s="47"/>
      <c r="B520" s="47"/>
      <c r="C520" s="47"/>
      <c r="D520" s="15" t="s">
        <v>1434</v>
      </c>
      <c r="E520" s="16" t="s">
        <v>23</v>
      </c>
      <c r="F520" s="48"/>
      <c r="G520" s="48"/>
      <c r="H520" s="48"/>
      <c r="I520" s="48"/>
      <c r="J520" s="17" t="s">
        <v>1435</v>
      </c>
      <c r="K520" s="18"/>
    </row>
    <row r="521" spans="1:11" ht="15" customHeight="1" x14ac:dyDescent="0.35">
      <c r="A521" s="50">
        <v>174</v>
      </c>
      <c r="B521" s="50" t="s">
        <v>1436</v>
      </c>
      <c r="C521" s="51" t="s">
        <v>1437</v>
      </c>
      <c r="D521" s="19" t="s">
        <v>1438</v>
      </c>
      <c r="E521" s="2" t="s">
        <v>16</v>
      </c>
      <c r="F521" s="51" t="s">
        <v>17</v>
      </c>
      <c r="G521" s="50" t="s">
        <v>30</v>
      </c>
      <c r="H521" s="50" t="s">
        <v>55</v>
      </c>
      <c r="I521" s="52" t="s">
        <v>20</v>
      </c>
      <c r="J521" s="20" t="s">
        <v>1439</v>
      </c>
      <c r="K521" s="10"/>
    </row>
    <row r="522" spans="1:11" x14ac:dyDescent="0.35">
      <c r="A522" s="50"/>
      <c r="B522" s="50"/>
      <c r="C522" s="50"/>
      <c r="D522" s="21" t="s">
        <v>1440</v>
      </c>
      <c r="E522" s="22" t="s">
        <v>23</v>
      </c>
      <c r="F522" s="51"/>
      <c r="G522" s="51"/>
      <c r="H522" s="51"/>
      <c r="I522" s="51"/>
      <c r="J522" s="23" t="s">
        <v>1441</v>
      </c>
      <c r="K522" s="14"/>
    </row>
    <row r="523" spans="1:11" x14ac:dyDescent="0.35">
      <c r="A523" s="50"/>
      <c r="B523" s="50"/>
      <c r="C523" s="50"/>
      <c r="D523" s="24" t="s">
        <v>1442</v>
      </c>
      <c r="E523" s="25" t="s">
        <v>23</v>
      </c>
      <c r="F523" s="51"/>
      <c r="G523" s="51"/>
      <c r="H523" s="51"/>
      <c r="I523" s="51"/>
      <c r="J523" s="26" t="s">
        <v>1443</v>
      </c>
      <c r="K523" s="18"/>
    </row>
    <row r="524" spans="1:11" ht="15" customHeight="1" x14ac:dyDescent="0.35">
      <c r="A524" s="47">
        <v>175</v>
      </c>
      <c r="B524" s="47" t="s">
        <v>1444</v>
      </c>
      <c r="C524" s="48" t="s">
        <v>1445</v>
      </c>
      <c r="D524" s="8" t="s">
        <v>1446</v>
      </c>
      <c r="E524" s="4" t="s">
        <v>16</v>
      </c>
      <c r="F524" s="48" t="s">
        <v>17</v>
      </c>
      <c r="G524" s="47" t="s">
        <v>30</v>
      </c>
      <c r="H524" s="47" t="s">
        <v>55</v>
      </c>
      <c r="I524" s="49" t="s">
        <v>20</v>
      </c>
      <c r="J524" s="9" t="s">
        <v>1447</v>
      </c>
      <c r="K524" s="10"/>
    </row>
    <row r="525" spans="1:11" x14ac:dyDescent="0.35">
      <c r="A525" s="47"/>
      <c r="B525" s="47"/>
      <c r="C525" s="47"/>
      <c r="D525" s="11" t="s">
        <v>1448</v>
      </c>
      <c r="E525" s="12" t="s">
        <v>23</v>
      </c>
      <c r="F525" s="48"/>
      <c r="G525" s="48"/>
      <c r="H525" s="48"/>
      <c r="I525" s="48"/>
      <c r="J525" s="13" t="s">
        <v>1449</v>
      </c>
      <c r="K525" s="14"/>
    </row>
    <row r="526" spans="1:11" x14ac:dyDescent="0.35">
      <c r="A526" s="47"/>
      <c r="B526" s="47"/>
      <c r="C526" s="47"/>
      <c r="D526" s="15" t="s">
        <v>1450</v>
      </c>
      <c r="E526" s="16" t="s">
        <v>23</v>
      </c>
      <c r="F526" s="48"/>
      <c r="G526" s="48"/>
      <c r="H526" s="48"/>
      <c r="I526" s="48"/>
      <c r="J526" s="17" t="s">
        <v>1451</v>
      </c>
      <c r="K526" s="18"/>
    </row>
    <row r="527" spans="1:11" ht="15" customHeight="1" x14ac:dyDescent="0.35">
      <c r="A527" s="50">
        <v>176</v>
      </c>
      <c r="B527" s="50" t="s">
        <v>1452</v>
      </c>
      <c r="C527" s="51" t="s">
        <v>1453</v>
      </c>
      <c r="D527" s="19" t="s">
        <v>1454</v>
      </c>
      <c r="E527" s="2" t="s">
        <v>16</v>
      </c>
      <c r="F527" s="51" t="s">
        <v>17</v>
      </c>
      <c r="G527" s="50" t="s">
        <v>30</v>
      </c>
      <c r="H527" s="50" t="s">
        <v>55</v>
      </c>
      <c r="I527" s="52" t="s">
        <v>20</v>
      </c>
      <c r="J527" s="20" t="s">
        <v>1455</v>
      </c>
      <c r="K527" s="10"/>
    </row>
    <row r="528" spans="1:11" x14ac:dyDescent="0.35">
      <c r="A528" s="50"/>
      <c r="B528" s="50"/>
      <c r="C528" s="50"/>
      <c r="D528" s="21" t="s">
        <v>1456</v>
      </c>
      <c r="E528" s="22" t="s">
        <v>23</v>
      </c>
      <c r="F528" s="51"/>
      <c r="G528" s="51"/>
      <c r="H528" s="51"/>
      <c r="I528" s="51"/>
      <c r="J528" s="23" t="s">
        <v>1457</v>
      </c>
      <c r="K528" s="14"/>
    </row>
    <row r="529" spans="1:11" x14ac:dyDescent="0.35">
      <c r="A529" s="50"/>
      <c r="B529" s="50"/>
      <c r="C529" s="50"/>
      <c r="D529" s="24" t="s">
        <v>1458</v>
      </c>
      <c r="E529" s="25" t="s">
        <v>23</v>
      </c>
      <c r="F529" s="51"/>
      <c r="G529" s="51"/>
      <c r="H529" s="51"/>
      <c r="I529" s="51"/>
      <c r="J529" s="26" t="s">
        <v>1459</v>
      </c>
      <c r="K529" s="18"/>
    </row>
    <row r="530" spans="1:11" ht="15" customHeight="1" x14ac:dyDescent="0.35">
      <c r="A530" s="47">
        <v>177</v>
      </c>
      <c r="B530" s="47" t="s">
        <v>1460</v>
      </c>
      <c r="C530" s="48" t="s">
        <v>1461</v>
      </c>
      <c r="D530" s="8" t="s">
        <v>1462</v>
      </c>
      <c r="E530" s="4" t="s">
        <v>16</v>
      </c>
      <c r="F530" s="48" t="s">
        <v>17</v>
      </c>
      <c r="G530" s="47" t="s">
        <v>92</v>
      </c>
      <c r="H530" s="47" t="s">
        <v>55</v>
      </c>
      <c r="I530" s="49" t="s">
        <v>1463</v>
      </c>
      <c r="J530" s="9" t="s">
        <v>1464</v>
      </c>
      <c r="K530" s="10"/>
    </row>
    <row r="531" spans="1:11" x14ac:dyDescent="0.35">
      <c r="A531" s="47"/>
      <c r="B531" s="47"/>
      <c r="C531" s="47"/>
      <c r="D531" s="11" t="s">
        <v>1465</v>
      </c>
      <c r="E531" s="12" t="s">
        <v>23</v>
      </c>
      <c r="F531" s="48"/>
      <c r="G531" s="48"/>
      <c r="H531" s="48"/>
      <c r="I531" s="48"/>
      <c r="J531" s="13" t="s">
        <v>1466</v>
      </c>
      <c r="K531" s="14"/>
    </row>
    <row r="532" spans="1:11" x14ac:dyDescent="0.35">
      <c r="A532" s="47"/>
      <c r="B532" s="47"/>
      <c r="C532" s="47"/>
      <c r="D532" s="15" t="s">
        <v>1467</v>
      </c>
      <c r="E532" s="16" t="s">
        <v>23</v>
      </c>
      <c r="F532" s="48"/>
      <c r="G532" s="48"/>
      <c r="H532" s="48"/>
      <c r="I532" s="48"/>
      <c r="J532" s="17" t="s">
        <v>1468</v>
      </c>
      <c r="K532" s="18"/>
    </row>
    <row r="533" spans="1:11" ht="15" customHeight="1" x14ac:dyDescent="0.35">
      <c r="A533" s="50">
        <v>178</v>
      </c>
      <c r="B533" s="50" t="s">
        <v>1469</v>
      </c>
      <c r="C533" s="51" t="s">
        <v>1470</v>
      </c>
      <c r="D533" s="19" t="s">
        <v>1471</v>
      </c>
      <c r="E533" s="2" t="s">
        <v>16</v>
      </c>
      <c r="F533" s="1" t="s">
        <v>17</v>
      </c>
      <c r="G533" s="2" t="s">
        <v>30</v>
      </c>
      <c r="H533" s="50" t="s">
        <v>55</v>
      </c>
      <c r="I533" s="52" t="s">
        <v>1463</v>
      </c>
      <c r="J533" s="20" t="s">
        <v>1472</v>
      </c>
      <c r="K533" s="10"/>
    </row>
    <row r="534" spans="1:11" x14ac:dyDescent="0.35">
      <c r="A534" s="50"/>
      <c r="B534" s="50"/>
      <c r="C534" s="50"/>
      <c r="D534" s="21" t="s">
        <v>1473</v>
      </c>
      <c r="E534" s="22" t="s">
        <v>23</v>
      </c>
      <c r="F534" s="21" t="s">
        <v>17</v>
      </c>
      <c r="G534" s="22" t="s">
        <v>1474</v>
      </c>
      <c r="H534" s="50"/>
      <c r="I534" s="50"/>
      <c r="J534" s="23" t="s">
        <v>1475</v>
      </c>
      <c r="K534" s="14"/>
    </row>
    <row r="535" spans="1:11" x14ac:dyDescent="0.35">
      <c r="A535" s="50"/>
      <c r="B535" s="50"/>
      <c r="C535" s="50"/>
      <c r="D535" s="24" t="s">
        <v>1476</v>
      </c>
      <c r="E535" s="25" t="s">
        <v>23</v>
      </c>
      <c r="F535" s="24" t="s">
        <v>299</v>
      </c>
      <c r="G535" s="25" t="s">
        <v>30</v>
      </c>
      <c r="H535" s="50"/>
      <c r="I535" s="50"/>
      <c r="J535" s="26" t="s">
        <v>1477</v>
      </c>
      <c r="K535" s="18"/>
    </row>
    <row r="536" spans="1:11" ht="15" customHeight="1" x14ac:dyDescent="0.35">
      <c r="A536" s="47">
        <v>179</v>
      </c>
      <c r="B536" s="47" t="s">
        <v>1478</v>
      </c>
      <c r="C536" s="48" t="s">
        <v>1479</v>
      </c>
      <c r="D536" s="8" t="s">
        <v>1480</v>
      </c>
      <c r="E536" s="4" t="s">
        <v>16</v>
      </c>
      <c r="F536" s="48" t="s">
        <v>1481</v>
      </c>
      <c r="G536" s="47" t="s">
        <v>92</v>
      </c>
      <c r="H536" s="4" t="s">
        <v>55</v>
      </c>
      <c r="I536" s="49" t="s">
        <v>1463</v>
      </c>
      <c r="J536" s="9" t="s">
        <v>1482</v>
      </c>
      <c r="K536" s="10"/>
    </row>
    <row r="537" spans="1:11" x14ac:dyDescent="0.35">
      <c r="A537" s="47"/>
      <c r="B537" s="47"/>
      <c r="C537" s="47"/>
      <c r="D537" s="11" t="s">
        <v>1483</v>
      </c>
      <c r="E537" s="12" t="s">
        <v>23</v>
      </c>
      <c r="F537" s="48"/>
      <c r="G537" s="48"/>
      <c r="H537" s="12" t="s">
        <v>31</v>
      </c>
      <c r="I537" s="49"/>
      <c r="J537" s="13" t="s">
        <v>1484</v>
      </c>
      <c r="K537" s="14"/>
    </row>
    <row r="538" spans="1:11" x14ac:dyDescent="0.35">
      <c r="A538" s="47"/>
      <c r="B538" s="47"/>
      <c r="C538" s="47"/>
      <c r="D538" s="15" t="s">
        <v>1485</v>
      </c>
      <c r="E538" s="16" t="s">
        <v>23</v>
      </c>
      <c r="F538" s="48"/>
      <c r="G538" s="48"/>
      <c r="H538" s="16" t="s">
        <v>31</v>
      </c>
      <c r="I538" s="49"/>
      <c r="J538" s="17" t="s">
        <v>1486</v>
      </c>
      <c r="K538" s="18"/>
    </row>
    <row r="539" spans="1:11" ht="15" customHeight="1" x14ac:dyDescent="0.35">
      <c r="A539" s="50">
        <v>180</v>
      </c>
      <c r="B539" s="50" t="s">
        <v>1487</v>
      </c>
      <c r="C539" s="51" t="s">
        <v>1488</v>
      </c>
      <c r="D539" s="19" t="s">
        <v>1489</v>
      </c>
      <c r="E539" s="2" t="s">
        <v>16</v>
      </c>
      <c r="F539" s="51" t="s">
        <v>17</v>
      </c>
      <c r="G539" s="50" t="s">
        <v>92</v>
      </c>
      <c r="H539" s="2" t="s">
        <v>193</v>
      </c>
      <c r="I539" s="52" t="s">
        <v>1463</v>
      </c>
      <c r="J539" s="20" t="s">
        <v>1490</v>
      </c>
      <c r="K539" s="10"/>
    </row>
    <row r="540" spans="1:11" x14ac:dyDescent="0.35">
      <c r="A540" s="50"/>
      <c r="B540" s="50"/>
      <c r="C540" s="50"/>
      <c r="D540" s="21" t="s">
        <v>1491</v>
      </c>
      <c r="E540" s="22" t="s">
        <v>23</v>
      </c>
      <c r="F540" s="51"/>
      <c r="G540" s="51"/>
      <c r="H540" s="22" t="s">
        <v>31</v>
      </c>
      <c r="I540" s="52"/>
      <c r="J540" s="23" t="s">
        <v>1492</v>
      </c>
      <c r="K540" s="14"/>
    </row>
    <row r="541" spans="1:11" x14ac:dyDescent="0.35">
      <c r="A541" s="50"/>
      <c r="B541" s="50"/>
      <c r="C541" s="50"/>
      <c r="D541" s="24" t="s">
        <v>1493</v>
      </c>
      <c r="E541" s="25" t="s">
        <v>23</v>
      </c>
      <c r="F541" s="51"/>
      <c r="G541" s="51"/>
      <c r="H541" s="25" t="s">
        <v>31</v>
      </c>
      <c r="I541" s="52"/>
      <c r="J541" s="26" t="s">
        <v>1494</v>
      </c>
      <c r="K541" s="18"/>
    </row>
    <row r="542" spans="1:11" ht="15" customHeight="1" x14ac:dyDescent="0.35">
      <c r="A542" s="47">
        <v>181</v>
      </c>
      <c r="B542" s="47" t="s">
        <v>1495</v>
      </c>
      <c r="C542" s="48" t="s">
        <v>1496</v>
      </c>
      <c r="D542" s="8" t="s">
        <v>1497</v>
      </c>
      <c r="E542" s="4" t="s">
        <v>16</v>
      </c>
      <c r="F542" s="48" t="s">
        <v>218</v>
      </c>
      <c r="G542" s="47" t="s">
        <v>324</v>
      </c>
      <c r="H542" s="47" t="s">
        <v>31</v>
      </c>
      <c r="I542" s="49" t="s">
        <v>1463</v>
      </c>
      <c r="J542" s="9" t="s">
        <v>1498</v>
      </c>
      <c r="K542" s="10"/>
    </row>
    <row r="543" spans="1:11" x14ac:dyDescent="0.35">
      <c r="A543" s="47"/>
      <c r="B543" s="47"/>
      <c r="C543" s="47"/>
      <c r="D543" s="11" t="s">
        <v>1499</v>
      </c>
      <c r="E543" s="12" t="s">
        <v>23</v>
      </c>
      <c r="F543" s="48"/>
      <c r="G543" s="48"/>
      <c r="H543" s="48"/>
      <c r="I543" s="48"/>
      <c r="J543" s="13" t="s">
        <v>1500</v>
      </c>
      <c r="K543" s="14"/>
    </row>
    <row r="544" spans="1:11" x14ac:dyDescent="0.35">
      <c r="A544" s="47"/>
      <c r="B544" s="47"/>
      <c r="C544" s="47"/>
      <c r="D544" s="15" t="s">
        <v>1501</v>
      </c>
      <c r="E544" s="16" t="s">
        <v>23</v>
      </c>
      <c r="F544" s="48"/>
      <c r="G544" s="48"/>
      <c r="H544" s="48"/>
      <c r="I544" s="48"/>
      <c r="J544" s="17" t="s">
        <v>1502</v>
      </c>
      <c r="K544" s="18"/>
    </row>
    <row r="545" spans="1:11" ht="23.9" customHeight="1" x14ac:dyDescent="0.35">
      <c r="A545" s="50">
        <v>182</v>
      </c>
      <c r="B545" s="50" t="s">
        <v>1503</v>
      </c>
      <c r="C545" s="51" t="s">
        <v>1504</v>
      </c>
      <c r="D545" s="19" t="s">
        <v>1505</v>
      </c>
      <c r="E545" s="2" t="s">
        <v>16</v>
      </c>
      <c r="F545" s="51" t="s">
        <v>218</v>
      </c>
      <c r="G545" s="50" t="s">
        <v>324</v>
      </c>
      <c r="H545" s="50" t="s">
        <v>31</v>
      </c>
      <c r="I545" s="52" t="s">
        <v>1463</v>
      </c>
      <c r="J545" s="20" t="s">
        <v>1506</v>
      </c>
      <c r="K545" s="10"/>
    </row>
    <row r="546" spans="1:11" x14ac:dyDescent="0.35">
      <c r="A546" s="50"/>
      <c r="B546" s="50"/>
      <c r="C546" s="50"/>
      <c r="D546" s="21" t="s">
        <v>1507</v>
      </c>
      <c r="E546" s="22" t="s">
        <v>23</v>
      </c>
      <c r="F546" s="51"/>
      <c r="G546" s="51"/>
      <c r="H546" s="51"/>
      <c r="I546" s="51"/>
      <c r="J546" s="23" t="s">
        <v>1508</v>
      </c>
      <c r="K546" s="14"/>
    </row>
    <row r="547" spans="1:11" x14ac:dyDescent="0.35">
      <c r="A547" s="50"/>
      <c r="B547" s="50"/>
      <c r="C547" s="50"/>
      <c r="D547" s="24" t="s">
        <v>1509</v>
      </c>
      <c r="E547" s="25" t="s">
        <v>23</v>
      </c>
      <c r="F547" s="51"/>
      <c r="G547" s="51"/>
      <c r="H547" s="51"/>
      <c r="I547" s="51"/>
      <c r="J547" s="26" t="s">
        <v>1510</v>
      </c>
      <c r="K547" s="18"/>
    </row>
    <row r="548" spans="1:11" ht="15" customHeight="1" x14ac:dyDescent="0.35">
      <c r="A548" s="47">
        <v>183</v>
      </c>
      <c r="B548" s="47" t="s">
        <v>1511</v>
      </c>
      <c r="C548" s="48" t="s">
        <v>1512</v>
      </c>
      <c r="D548" s="8" t="s">
        <v>1513</v>
      </c>
      <c r="E548" s="4" t="s">
        <v>16</v>
      </c>
      <c r="F548" s="48" t="s">
        <v>17</v>
      </c>
      <c r="G548" s="4" t="s">
        <v>18</v>
      </c>
      <c r="H548" s="47" t="s">
        <v>55</v>
      </c>
      <c r="I548" s="49" t="s">
        <v>1463</v>
      </c>
      <c r="J548" s="9" t="s">
        <v>1514</v>
      </c>
      <c r="K548" s="10"/>
    </row>
    <row r="549" spans="1:11" x14ac:dyDescent="0.35">
      <c r="A549" s="47"/>
      <c r="B549" s="47"/>
      <c r="C549" s="47"/>
      <c r="D549" s="11" t="s">
        <v>1515</v>
      </c>
      <c r="E549" s="12" t="s">
        <v>23</v>
      </c>
      <c r="F549" s="48"/>
      <c r="G549" s="12" t="s">
        <v>18</v>
      </c>
      <c r="H549" s="47"/>
      <c r="I549" s="47"/>
      <c r="J549" s="13" t="s">
        <v>1516</v>
      </c>
      <c r="K549" s="14"/>
    </row>
    <row r="550" spans="1:11" x14ac:dyDescent="0.35">
      <c r="A550" s="47"/>
      <c r="B550" s="47"/>
      <c r="C550" s="47"/>
      <c r="D550" s="15" t="s">
        <v>1517</v>
      </c>
      <c r="E550" s="16" t="s">
        <v>23</v>
      </c>
      <c r="F550" s="48"/>
      <c r="G550" s="16" t="s">
        <v>92</v>
      </c>
      <c r="H550" s="47"/>
      <c r="I550" s="47"/>
      <c r="J550" s="17" t="s">
        <v>1518</v>
      </c>
      <c r="K550" s="18"/>
    </row>
    <row r="551" spans="1:11" ht="15" customHeight="1" x14ac:dyDescent="0.35">
      <c r="A551" s="50">
        <v>184</v>
      </c>
      <c r="B551" s="50" t="s">
        <v>1519</v>
      </c>
      <c r="C551" s="51" t="s">
        <v>1520</v>
      </c>
      <c r="D551" s="19" t="s">
        <v>1521</v>
      </c>
      <c r="E551" s="2" t="s">
        <v>16</v>
      </c>
      <c r="F551" s="51" t="s">
        <v>167</v>
      </c>
      <c r="G551" s="2" t="s">
        <v>300</v>
      </c>
      <c r="H551" s="2" t="s">
        <v>55</v>
      </c>
      <c r="I551" s="52" t="s">
        <v>1463</v>
      </c>
      <c r="J551" s="20" t="s">
        <v>1522</v>
      </c>
      <c r="K551" s="10"/>
    </row>
    <row r="552" spans="1:11" x14ac:dyDescent="0.35">
      <c r="A552" s="50"/>
      <c r="B552" s="50"/>
      <c r="C552" s="50"/>
      <c r="D552" s="21" t="s">
        <v>1523</v>
      </c>
      <c r="E552" s="22" t="s">
        <v>23</v>
      </c>
      <c r="F552" s="51"/>
      <c r="G552" s="22" t="s">
        <v>18</v>
      </c>
      <c r="H552" s="22" t="s">
        <v>193</v>
      </c>
      <c r="I552" s="52"/>
      <c r="J552" s="23" t="s">
        <v>1524</v>
      </c>
      <c r="K552" s="14"/>
    </row>
    <row r="553" spans="1:11" x14ac:dyDescent="0.35">
      <c r="A553" s="50"/>
      <c r="B553" s="50"/>
      <c r="C553" s="50"/>
      <c r="D553" s="24" t="s">
        <v>1525</v>
      </c>
      <c r="E553" s="25" t="s">
        <v>23</v>
      </c>
      <c r="F553" s="51"/>
      <c r="G553" s="25" t="s">
        <v>30</v>
      </c>
      <c r="H553" s="25" t="s">
        <v>31</v>
      </c>
      <c r="I553" s="52"/>
      <c r="J553" s="26" t="s">
        <v>1526</v>
      </c>
      <c r="K553" s="18"/>
    </row>
    <row r="554" spans="1:11" ht="15" customHeight="1" x14ac:dyDescent="0.35">
      <c r="A554" s="47">
        <v>185</v>
      </c>
      <c r="B554" s="47" t="s">
        <v>1527</v>
      </c>
      <c r="C554" s="48" t="s">
        <v>1528</v>
      </c>
      <c r="D554" s="8" t="s">
        <v>1529</v>
      </c>
      <c r="E554" s="4" t="s">
        <v>16</v>
      </c>
      <c r="F554" s="48" t="s">
        <v>17</v>
      </c>
      <c r="G554" s="47" t="s">
        <v>300</v>
      </c>
      <c r="H554" s="47" t="s">
        <v>55</v>
      </c>
      <c r="I554" s="49" t="s">
        <v>1463</v>
      </c>
      <c r="J554" s="9" t="s">
        <v>1530</v>
      </c>
      <c r="K554" s="10"/>
    </row>
    <row r="555" spans="1:11" x14ac:dyDescent="0.35">
      <c r="A555" s="47"/>
      <c r="B555" s="47"/>
      <c r="C555" s="47"/>
      <c r="D555" s="11" t="s">
        <v>1531</v>
      </c>
      <c r="E555" s="12" t="s">
        <v>23</v>
      </c>
      <c r="F555" s="48"/>
      <c r="G555" s="48"/>
      <c r="H555" s="48"/>
      <c r="I555" s="48"/>
      <c r="J555" s="13" t="s">
        <v>1532</v>
      </c>
      <c r="K555" s="14"/>
    </row>
    <row r="556" spans="1:11" x14ac:dyDescent="0.35">
      <c r="A556" s="47"/>
      <c r="B556" s="47"/>
      <c r="C556" s="47"/>
      <c r="D556" s="15" t="s">
        <v>1533</v>
      </c>
      <c r="E556" s="16" t="s">
        <v>23</v>
      </c>
      <c r="F556" s="48"/>
      <c r="G556" s="48"/>
      <c r="H556" s="48"/>
      <c r="I556" s="48"/>
      <c r="J556" s="17" t="s">
        <v>1534</v>
      </c>
      <c r="K556" s="18"/>
    </row>
    <row r="557" spans="1:11" ht="15" customHeight="1" x14ac:dyDescent="0.35">
      <c r="A557" s="50">
        <v>186</v>
      </c>
      <c r="B557" s="50" t="s">
        <v>1535</v>
      </c>
      <c r="C557" s="51" t="s">
        <v>1536</v>
      </c>
      <c r="D557" s="19" t="s">
        <v>1537</v>
      </c>
      <c r="E557" s="2" t="s">
        <v>16</v>
      </c>
      <c r="F557" s="51" t="s">
        <v>167</v>
      </c>
      <c r="G557" s="50" t="s">
        <v>30</v>
      </c>
      <c r="H557" s="50" t="s">
        <v>31</v>
      </c>
      <c r="I557" s="52" t="s">
        <v>1463</v>
      </c>
      <c r="J557" s="20" t="s">
        <v>1538</v>
      </c>
      <c r="K557" s="10"/>
    </row>
    <row r="558" spans="1:11" x14ac:dyDescent="0.35">
      <c r="A558" s="50"/>
      <c r="B558" s="50"/>
      <c r="C558" s="50"/>
      <c r="D558" s="21" t="s">
        <v>1539</v>
      </c>
      <c r="E558" s="22" t="s">
        <v>23</v>
      </c>
      <c r="F558" s="51"/>
      <c r="G558" s="51"/>
      <c r="H558" s="51"/>
      <c r="I558" s="51"/>
      <c r="J558" s="23" t="s">
        <v>1540</v>
      </c>
      <c r="K558" s="14"/>
    </row>
    <row r="559" spans="1:11" x14ac:dyDescent="0.35">
      <c r="A559" s="50"/>
      <c r="B559" s="50"/>
      <c r="C559" s="50"/>
      <c r="D559" s="24" t="s">
        <v>1541</v>
      </c>
      <c r="E559" s="25" t="s">
        <v>23</v>
      </c>
      <c r="F559" s="51"/>
      <c r="G559" s="51"/>
      <c r="H559" s="51"/>
      <c r="I559" s="51"/>
      <c r="J559" s="26" t="s">
        <v>1542</v>
      </c>
      <c r="K559" s="18"/>
    </row>
    <row r="560" spans="1:11" ht="15" customHeight="1" x14ac:dyDescent="0.35">
      <c r="A560" s="47">
        <v>187</v>
      </c>
      <c r="B560" s="47" t="s">
        <v>1543</v>
      </c>
      <c r="C560" s="48" t="s">
        <v>1544</v>
      </c>
      <c r="D560" s="8" t="s">
        <v>1545</v>
      </c>
      <c r="E560" s="4" t="s">
        <v>16</v>
      </c>
      <c r="F560" s="3" t="s">
        <v>17</v>
      </c>
      <c r="G560" s="4" t="s">
        <v>30</v>
      </c>
      <c r="H560" s="47" t="s">
        <v>55</v>
      </c>
      <c r="I560" s="49" t="s">
        <v>1463</v>
      </c>
      <c r="J560" s="9" t="s">
        <v>1546</v>
      </c>
      <c r="K560" s="10"/>
    </row>
    <row r="561" spans="1:11" x14ac:dyDescent="0.35">
      <c r="A561" s="47"/>
      <c r="B561" s="47"/>
      <c r="C561" s="47"/>
      <c r="D561" s="11" t="s">
        <v>1547</v>
      </c>
      <c r="E561" s="12" t="s">
        <v>23</v>
      </c>
      <c r="F561" s="11" t="s">
        <v>1548</v>
      </c>
      <c r="G561" s="12" t="s">
        <v>92</v>
      </c>
      <c r="H561" s="47"/>
      <c r="I561" s="47"/>
      <c r="J561" s="13" t="s">
        <v>1549</v>
      </c>
      <c r="K561" s="14"/>
    </row>
    <row r="562" spans="1:11" x14ac:dyDescent="0.35">
      <c r="A562" s="47"/>
      <c r="B562" s="47"/>
      <c r="C562" s="47"/>
      <c r="D562" s="15" t="s">
        <v>1550</v>
      </c>
      <c r="E562" s="16" t="s">
        <v>23</v>
      </c>
      <c r="F562" s="15" t="s">
        <v>299</v>
      </c>
      <c r="G562" s="16" t="s">
        <v>92</v>
      </c>
      <c r="H562" s="47"/>
      <c r="I562" s="47"/>
      <c r="J562" s="17" t="s">
        <v>1551</v>
      </c>
      <c r="K562" s="18"/>
    </row>
    <row r="563" spans="1:11" ht="15" customHeight="1" x14ac:dyDescent="0.35">
      <c r="A563" s="50">
        <v>188</v>
      </c>
      <c r="B563" s="50" t="s">
        <v>1552</v>
      </c>
      <c r="C563" s="51" t="s">
        <v>1553</v>
      </c>
      <c r="D563" s="19" t="s">
        <v>1554</v>
      </c>
      <c r="E563" s="2" t="s">
        <v>16</v>
      </c>
      <c r="F563" s="51" t="s">
        <v>1555</v>
      </c>
      <c r="G563" s="50" t="s">
        <v>92</v>
      </c>
      <c r="H563" s="50" t="s">
        <v>55</v>
      </c>
      <c r="I563" s="52" t="s">
        <v>1463</v>
      </c>
      <c r="J563" s="20" t="s">
        <v>1556</v>
      </c>
      <c r="K563" s="10"/>
    </row>
    <row r="564" spans="1:11" x14ac:dyDescent="0.35">
      <c r="A564" s="50"/>
      <c r="B564" s="50"/>
      <c r="C564" s="50"/>
      <c r="D564" s="21" t="s">
        <v>1557</v>
      </c>
      <c r="E564" s="22" t="s">
        <v>23</v>
      </c>
      <c r="F564" s="51"/>
      <c r="G564" s="51"/>
      <c r="H564" s="51"/>
      <c r="I564" s="51"/>
      <c r="J564" s="23" t="s">
        <v>1558</v>
      </c>
      <c r="K564" s="14"/>
    </row>
    <row r="565" spans="1:11" x14ac:dyDescent="0.35">
      <c r="A565" s="50"/>
      <c r="B565" s="50"/>
      <c r="C565" s="50"/>
      <c r="D565" s="24" t="s">
        <v>1559</v>
      </c>
      <c r="E565" s="25" t="s">
        <v>23</v>
      </c>
      <c r="F565" s="51"/>
      <c r="G565" s="51"/>
      <c r="H565" s="51"/>
      <c r="I565" s="51"/>
      <c r="J565" s="26" t="s">
        <v>1560</v>
      </c>
      <c r="K565" s="18"/>
    </row>
    <row r="566" spans="1:11" ht="15" customHeight="1" x14ac:dyDescent="0.35">
      <c r="A566" s="47">
        <v>189</v>
      </c>
      <c r="B566" s="47" t="s">
        <v>1561</v>
      </c>
      <c r="C566" s="48" t="s">
        <v>1562</v>
      </c>
      <c r="D566" s="8" t="s">
        <v>1563</v>
      </c>
      <c r="E566" s="4" t="s">
        <v>16</v>
      </c>
      <c r="F566" s="48" t="s">
        <v>133</v>
      </c>
      <c r="G566" s="47" t="s">
        <v>92</v>
      </c>
      <c r="H566" s="47" t="s">
        <v>55</v>
      </c>
      <c r="I566" s="49" t="s">
        <v>1463</v>
      </c>
      <c r="J566" s="9" t="s">
        <v>1564</v>
      </c>
      <c r="K566" s="10"/>
    </row>
    <row r="567" spans="1:11" x14ac:dyDescent="0.35">
      <c r="A567" s="47"/>
      <c r="B567" s="47"/>
      <c r="C567" s="47"/>
      <c r="D567" s="11" t="s">
        <v>1565</v>
      </c>
      <c r="E567" s="12" t="s">
        <v>23</v>
      </c>
      <c r="F567" s="48"/>
      <c r="G567" s="48"/>
      <c r="H567" s="48"/>
      <c r="I567" s="48"/>
      <c r="J567" s="13" t="s">
        <v>1566</v>
      </c>
      <c r="K567" s="14"/>
    </row>
    <row r="568" spans="1:11" x14ac:dyDescent="0.35">
      <c r="A568" s="47"/>
      <c r="B568" s="47"/>
      <c r="C568" s="47"/>
      <c r="D568" s="15" t="s">
        <v>1567</v>
      </c>
      <c r="E568" s="16" t="s">
        <v>23</v>
      </c>
      <c r="F568" s="48"/>
      <c r="G568" s="48"/>
      <c r="H568" s="48"/>
      <c r="I568" s="48"/>
      <c r="J568" s="17" t="s">
        <v>1568</v>
      </c>
      <c r="K568" s="18"/>
    </row>
    <row r="569" spans="1:11" ht="15" customHeight="1" x14ac:dyDescent="0.35">
      <c r="A569" s="50">
        <v>190</v>
      </c>
      <c r="B569" s="50" t="s">
        <v>1569</v>
      </c>
      <c r="C569" s="51" t="s">
        <v>1570</v>
      </c>
      <c r="D569" s="19" t="s">
        <v>1571</v>
      </c>
      <c r="E569" s="2" t="s">
        <v>16</v>
      </c>
      <c r="F569" s="51" t="s">
        <v>17</v>
      </c>
      <c r="G569" s="50" t="s">
        <v>92</v>
      </c>
      <c r="H569" s="50" t="s">
        <v>55</v>
      </c>
      <c r="I569" s="52" t="s">
        <v>1463</v>
      </c>
      <c r="J569" s="20" t="s">
        <v>1572</v>
      </c>
      <c r="K569" s="10"/>
    </row>
    <row r="570" spans="1:11" x14ac:dyDescent="0.35">
      <c r="A570" s="50"/>
      <c r="B570" s="50"/>
      <c r="C570" s="50"/>
      <c r="D570" s="21" t="s">
        <v>1573</v>
      </c>
      <c r="E570" s="22" t="s">
        <v>23</v>
      </c>
      <c r="F570" s="51"/>
      <c r="G570" s="51"/>
      <c r="H570" s="51"/>
      <c r="I570" s="51"/>
      <c r="J570" s="23" t="s">
        <v>1574</v>
      </c>
      <c r="K570" s="14"/>
    </row>
    <row r="571" spans="1:11" x14ac:dyDescent="0.35">
      <c r="A571" s="50"/>
      <c r="B571" s="50"/>
      <c r="C571" s="50"/>
      <c r="D571" s="24" t="s">
        <v>1575</v>
      </c>
      <c r="E571" s="25" t="s">
        <v>23</v>
      </c>
      <c r="F571" s="51"/>
      <c r="G571" s="51"/>
      <c r="H571" s="51"/>
      <c r="I571" s="51"/>
      <c r="J571" s="26" t="s">
        <v>1576</v>
      </c>
      <c r="K571" s="18"/>
    </row>
    <row r="572" spans="1:11" ht="15" customHeight="1" x14ac:dyDescent="0.35">
      <c r="A572" s="47">
        <v>191</v>
      </c>
      <c r="B572" s="47" t="s">
        <v>1577</v>
      </c>
      <c r="C572" s="48" t="s">
        <v>1578</v>
      </c>
      <c r="D572" s="8" t="s">
        <v>1579</v>
      </c>
      <c r="E572" s="4" t="s">
        <v>16</v>
      </c>
      <c r="F572" s="3" t="s">
        <v>17</v>
      </c>
      <c r="G572" s="4" t="s">
        <v>30</v>
      </c>
      <c r="H572" s="4" t="s">
        <v>55</v>
      </c>
      <c r="I572" s="49" t="s">
        <v>1463</v>
      </c>
      <c r="J572" s="9" t="s">
        <v>1580</v>
      </c>
      <c r="K572" s="10"/>
    </row>
    <row r="573" spans="1:11" x14ac:dyDescent="0.35">
      <c r="A573" s="47"/>
      <c r="B573" s="47"/>
      <c r="C573" s="47"/>
      <c r="D573" s="11" t="s">
        <v>1581</v>
      </c>
      <c r="E573" s="12" t="s">
        <v>23</v>
      </c>
      <c r="F573" s="11" t="s">
        <v>17</v>
      </c>
      <c r="G573" s="12" t="s">
        <v>18</v>
      </c>
      <c r="H573" s="12" t="s">
        <v>55</v>
      </c>
      <c r="I573" s="49"/>
      <c r="J573" s="13" t="s">
        <v>1582</v>
      </c>
      <c r="K573" s="14"/>
    </row>
    <row r="574" spans="1:11" x14ac:dyDescent="0.35">
      <c r="A574" s="47"/>
      <c r="B574" s="47"/>
      <c r="C574" s="47"/>
      <c r="D574" s="15" t="s">
        <v>1583</v>
      </c>
      <c r="E574" s="16" t="s">
        <v>23</v>
      </c>
      <c r="F574" s="15" t="s">
        <v>1584</v>
      </c>
      <c r="G574" s="16" t="s">
        <v>30</v>
      </c>
      <c r="H574" s="16" t="s">
        <v>31</v>
      </c>
      <c r="I574" s="49"/>
      <c r="J574" s="17" t="s">
        <v>1585</v>
      </c>
      <c r="K574" s="18"/>
    </row>
    <row r="575" spans="1:11" ht="15" customHeight="1" x14ac:dyDescent="0.35">
      <c r="A575" s="50">
        <v>192</v>
      </c>
      <c r="B575" s="50" t="s">
        <v>1586</v>
      </c>
      <c r="C575" s="51" t="s">
        <v>1587</v>
      </c>
      <c r="D575" s="19" t="s">
        <v>1588</v>
      </c>
      <c r="E575" s="2" t="s">
        <v>16</v>
      </c>
      <c r="F575" s="51" t="s">
        <v>438</v>
      </c>
      <c r="G575" s="2" t="s">
        <v>30</v>
      </c>
      <c r="H575" s="50" t="s">
        <v>19</v>
      </c>
      <c r="I575" s="52" t="s">
        <v>1463</v>
      </c>
      <c r="J575" s="20" t="s">
        <v>1589</v>
      </c>
      <c r="K575" s="10"/>
    </row>
    <row r="576" spans="1:11" x14ac:dyDescent="0.35">
      <c r="A576" s="50"/>
      <c r="B576" s="50"/>
      <c r="C576" s="50"/>
      <c r="D576" s="21" t="s">
        <v>1590</v>
      </c>
      <c r="E576" s="22" t="s">
        <v>23</v>
      </c>
      <c r="F576" s="51"/>
      <c r="G576" s="22" t="s">
        <v>92</v>
      </c>
      <c r="H576" s="50"/>
      <c r="I576" s="50"/>
      <c r="J576" s="23" t="s">
        <v>1591</v>
      </c>
      <c r="K576" s="14"/>
    </row>
    <row r="577" spans="1:11" x14ac:dyDescent="0.35">
      <c r="A577" s="50"/>
      <c r="B577" s="50"/>
      <c r="C577" s="50"/>
      <c r="D577" s="24" t="s">
        <v>1592</v>
      </c>
      <c r="E577" s="25" t="s">
        <v>23</v>
      </c>
      <c r="F577" s="51"/>
      <c r="G577" s="25" t="s">
        <v>30</v>
      </c>
      <c r="H577" s="50"/>
      <c r="I577" s="50"/>
      <c r="J577" s="26" t="s">
        <v>1593</v>
      </c>
      <c r="K577" s="18"/>
    </row>
    <row r="578" spans="1:11" ht="15" customHeight="1" x14ac:dyDescent="0.35">
      <c r="A578" s="47">
        <v>193</v>
      </c>
      <c r="B578" s="47" t="s">
        <v>1594</v>
      </c>
      <c r="C578" s="48" t="s">
        <v>1595</v>
      </c>
      <c r="D578" s="8" t="s">
        <v>1596</v>
      </c>
      <c r="E578" s="4" t="s">
        <v>16</v>
      </c>
      <c r="F578" s="48" t="s">
        <v>17</v>
      </c>
      <c r="G578" s="47" t="s">
        <v>300</v>
      </c>
      <c r="H578" s="47" t="s">
        <v>55</v>
      </c>
      <c r="I578" s="49" t="s">
        <v>1463</v>
      </c>
      <c r="J578" s="9" t="s">
        <v>1597</v>
      </c>
      <c r="K578" s="10"/>
    </row>
    <row r="579" spans="1:11" x14ac:dyDescent="0.35">
      <c r="A579" s="47"/>
      <c r="B579" s="47"/>
      <c r="C579" s="47"/>
      <c r="D579" s="11" t="s">
        <v>1598</v>
      </c>
      <c r="E579" s="12" t="s">
        <v>23</v>
      </c>
      <c r="F579" s="48"/>
      <c r="G579" s="48"/>
      <c r="H579" s="48"/>
      <c r="I579" s="48"/>
      <c r="J579" s="13" t="s">
        <v>1599</v>
      </c>
      <c r="K579" s="14"/>
    </row>
    <row r="580" spans="1:11" x14ac:dyDescent="0.35">
      <c r="A580" s="47"/>
      <c r="B580" s="47"/>
      <c r="C580" s="47"/>
      <c r="D580" s="15" t="s">
        <v>1600</v>
      </c>
      <c r="E580" s="16" t="s">
        <v>23</v>
      </c>
      <c r="F580" s="48"/>
      <c r="G580" s="48"/>
      <c r="H580" s="48"/>
      <c r="I580" s="48"/>
      <c r="J580" s="17" t="s">
        <v>1601</v>
      </c>
      <c r="K580" s="18"/>
    </row>
    <row r="581" spans="1:11" ht="15" customHeight="1" x14ac:dyDescent="0.35">
      <c r="A581" s="50">
        <v>194</v>
      </c>
      <c r="B581" s="50" t="s">
        <v>1602</v>
      </c>
      <c r="C581" s="51" t="s">
        <v>1603</v>
      </c>
      <c r="D581" s="19" t="s">
        <v>1604</v>
      </c>
      <c r="E581" s="2" t="s">
        <v>16</v>
      </c>
      <c r="F581" s="51" t="s">
        <v>17</v>
      </c>
      <c r="G581" s="50" t="s">
        <v>92</v>
      </c>
      <c r="H581" s="50" t="s">
        <v>55</v>
      </c>
      <c r="I581" s="52" t="s">
        <v>1463</v>
      </c>
      <c r="J581" s="20" t="s">
        <v>1605</v>
      </c>
      <c r="K581" s="10"/>
    </row>
    <row r="582" spans="1:11" x14ac:dyDescent="0.35">
      <c r="A582" s="50"/>
      <c r="B582" s="50"/>
      <c r="C582" s="50"/>
      <c r="D582" s="21" t="s">
        <v>1606</v>
      </c>
      <c r="E582" s="22" t="s">
        <v>23</v>
      </c>
      <c r="F582" s="51"/>
      <c r="G582" s="51"/>
      <c r="H582" s="51"/>
      <c r="I582" s="51"/>
      <c r="J582" s="23" t="s">
        <v>1607</v>
      </c>
      <c r="K582" s="14"/>
    </row>
    <row r="583" spans="1:11" x14ac:dyDescent="0.35">
      <c r="A583" s="50"/>
      <c r="B583" s="50"/>
      <c r="C583" s="50"/>
      <c r="D583" s="24" t="s">
        <v>1608</v>
      </c>
      <c r="E583" s="25" t="s">
        <v>23</v>
      </c>
      <c r="F583" s="51"/>
      <c r="G583" s="51"/>
      <c r="H583" s="51"/>
      <c r="I583" s="51"/>
      <c r="J583" s="26" t="s">
        <v>1609</v>
      </c>
      <c r="K583" s="18"/>
    </row>
    <row r="584" spans="1:11" ht="15" customHeight="1" x14ac:dyDescent="0.35">
      <c r="A584" s="47">
        <v>195</v>
      </c>
      <c r="B584" s="47" t="s">
        <v>1610</v>
      </c>
      <c r="C584" s="48" t="s">
        <v>1611</v>
      </c>
      <c r="D584" s="8" t="s">
        <v>1612</v>
      </c>
      <c r="E584" s="4" t="s">
        <v>16</v>
      </c>
      <c r="F584" s="48" t="s">
        <v>17</v>
      </c>
      <c r="G584" s="47" t="s">
        <v>30</v>
      </c>
      <c r="H584" s="47" t="s">
        <v>55</v>
      </c>
      <c r="I584" s="49" t="s">
        <v>1463</v>
      </c>
      <c r="J584" s="9" t="s">
        <v>1613</v>
      </c>
      <c r="K584" s="10"/>
    </row>
    <row r="585" spans="1:11" x14ac:dyDescent="0.35">
      <c r="A585" s="47"/>
      <c r="B585" s="47"/>
      <c r="C585" s="47"/>
      <c r="D585" s="11" t="s">
        <v>1614</v>
      </c>
      <c r="E585" s="12" t="s">
        <v>23</v>
      </c>
      <c r="F585" s="48"/>
      <c r="G585" s="48"/>
      <c r="H585" s="48"/>
      <c r="I585" s="48"/>
      <c r="J585" s="13" t="s">
        <v>1615</v>
      </c>
      <c r="K585" s="14"/>
    </row>
    <row r="586" spans="1:11" x14ac:dyDescent="0.35">
      <c r="A586" s="47"/>
      <c r="B586" s="47"/>
      <c r="C586" s="47"/>
      <c r="D586" s="15" t="s">
        <v>1616</v>
      </c>
      <c r="E586" s="16" t="s">
        <v>23</v>
      </c>
      <c r="F586" s="48"/>
      <c r="G586" s="48"/>
      <c r="H586" s="48"/>
      <c r="I586" s="48"/>
      <c r="J586" s="17" t="s">
        <v>1617</v>
      </c>
      <c r="K586" s="18"/>
    </row>
    <row r="587" spans="1:11" ht="15" customHeight="1" x14ac:dyDescent="0.35">
      <c r="A587" s="50">
        <v>196</v>
      </c>
      <c r="B587" s="50" t="s">
        <v>1618</v>
      </c>
      <c r="C587" s="51" t="s">
        <v>1619</v>
      </c>
      <c r="D587" s="19" t="s">
        <v>1620</v>
      </c>
      <c r="E587" s="2" t="s">
        <v>16</v>
      </c>
      <c r="F587" s="1" t="s">
        <v>17</v>
      </c>
      <c r="G587" s="2" t="s">
        <v>92</v>
      </c>
      <c r="H587" s="50" t="s">
        <v>55</v>
      </c>
      <c r="I587" s="52" t="s">
        <v>1463</v>
      </c>
      <c r="J587" s="20" t="s">
        <v>1621</v>
      </c>
      <c r="K587" s="10"/>
    </row>
    <row r="588" spans="1:11" ht="25" x14ac:dyDescent="0.35">
      <c r="A588" s="50"/>
      <c r="B588" s="50"/>
      <c r="C588" s="50"/>
      <c r="D588" s="21" t="s">
        <v>1622</v>
      </c>
      <c r="E588" s="22" t="s">
        <v>23</v>
      </c>
      <c r="F588" s="21" t="s">
        <v>897</v>
      </c>
      <c r="G588" s="22" t="s">
        <v>42</v>
      </c>
      <c r="H588" s="50"/>
      <c r="I588" s="50"/>
      <c r="J588" s="23" t="s">
        <v>1623</v>
      </c>
      <c r="K588" s="14"/>
    </row>
    <row r="589" spans="1:11" x14ac:dyDescent="0.35">
      <c r="A589" s="50"/>
      <c r="B589" s="50"/>
      <c r="C589" s="50"/>
      <c r="D589" s="24" t="s">
        <v>1624</v>
      </c>
      <c r="E589" s="25" t="s">
        <v>23</v>
      </c>
      <c r="F589" s="24" t="s">
        <v>1625</v>
      </c>
      <c r="G589" s="25" t="s">
        <v>42</v>
      </c>
      <c r="H589" s="50"/>
      <c r="I589" s="50"/>
      <c r="J589" s="26" t="s">
        <v>1626</v>
      </c>
      <c r="K589" s="18"/>
    </row>
    <row r="590" spans="1:11" ht="15" customHeight="1" x14ac:dyDescent="0.35">
      <c r="A590" s="47">
        <v>197</v>
      </c>
      <c r="B590" s="47" t="s">
        <v>1627</v>
      </c>
      <c r="C590" s="48" t="s">
        <v>1628</v>
      </c>
      <c r="D590" s="8" t="s">
        <v>1629</v>
      </c>
      <c r="E590" s="4" t="s">
        <v>16</v>
      </c>
      <c r="F590" s="48" t="s">
        <v>17</v>
      </c>
      <c r="G590" s="47" t="s">
        <v>92</v>
      </c>
      <c r="H590" s="47" t="s">
        <v>55</v>
      </c>
      <c r="I590" s="49" t="s">
        <v>1463</v>
      </c>
      <c r="J590" s="9" t="s">
        <v>1630</v>
      </c>
      <c r="K590" s="10"/>
    </row>
    <row r="591" spans="1:11" x14ac:dyDescent="0.35">
      <c r="A591" s="47"/>
      <c r="B591" s="47"/>
      <c r="C591" s="47"/>
      <c r="D591" s="11" t="s">
        <v>1631</v>
      </c>
      <c r="E591" s="12" t="s">
        <v>23</v>
      </c>
      <c r="F591" s="48"/>
      <c r="G591" s="48"/>
      <c r="H591" s="48"/>
      <c r="I591" s="48"/>
      <c r="J591" s="13" t="s">
        <v>1632</v>
      </c>
      <c r="K591" s="14"/>
    </row>
    <row r="592" spans="1:11" x14ac:dyDescent="0.35">
      <c r="A592" s="47"/>
      <c r="B592" s="47"/>
      <c r="C592" s="47"/>
      <c r="D592" s="15" t="s">
        <v>1633</v>
      </c>
      <c r="E592" s="16" t="s">
        <v>23</v>
      </c>
      <c r="F592" s="48"/>
      <c r="G592" s="48"/>
      <c r="H592" s="48"/>
      <c r="I592" s="48"/>
      <c r="J592" s="17" t="s">
        <v>1634</v>
      </c>
      <c r="K592" s="18"/>
    </row>
    <row r="593" spans="1:11" ht="15" customHeight="1" x14ac:dyDescent="0.35">
      <c r="A593" s="50">
        <v>198</v>
      </c>
      <c r="B593" s="50" t="s">
        <v>1635</v>
      </c>
      <c r="C593" s="51" t="s">
        <v>1636</v>
      </c>
      <c r="D593" s="19" t="s">
        <v>1637</v>
      </c>
      <c r="E593" s="2" t="s">
        <v>16</v>
      </c>
      <c r="F593" s="51" t="s">
        <v>17</v>
      </c>
      <c r="G593" s="50" t="s">
        <v>30</v>
      </c>
      <c r="H593" s="50" t="s">
        <v>55</v>
      </c>
      <c r="I593" s="52" t="s">
        <v>1463</v>
      </c>
      <c r="J593" s="20" t="s">
        <v>1638</v>
      </c>
      <c r="K593" s="10"/>
    </row>
    <row r="594" spans="1:11" x14ac:dyDescent="0.35">
      <c r="A594" s="50"/>
      <c r="B594" s="50"/>
      <c r="C594" s="50"/>
      <c r="D594" s="21" t="s">
        <v>1639</v>
      </c>
      <c r="E594" s="22" t="s">
        <v>23</v>
      </c>
      <c r="F594" s="51"/>
      <c r="G594" s="51"/>
      <c r="H594" s="51"/>
      <c r="I594" s="51"/>
      <c r="J594" s="23" t="s">
        <v>1640</v>
      </c>
      <c r="K594" s="14"/>
    </row>
    <row r="595" spans="1:11" x14ac:dyDescent="0.35">
      <c r="A595" s="50"/>
      <c r="B595" s="50"/>
      <c r="C595" s="50"/>
      <c r="D595" s="24" t="s">
        <v>1641</v>
      </c>
      <c r="E595" s="25" t="s">
        <v>23</v>
      </c>
      <c r="F595" s="51"/>
      <c r="G595" s="51"/>
      <c r="H595" s="51"/>
      <c r="I595" s="51"/>
      <c r="J595" s="26" t="s">
        <v>1642</v>
      </c>
      <c r="K595" s="18"/>
    </row>
    <row r="596" spans="1:11" ht="15" customHeight="1" x14ac:dyDescent="0.35">
      <c r="A596" s="47">
        <v>199</v>
      </c>
      <c r="B596" s="47" t="s">
        <v>1643</v>
      </c>
      <c r="C596" s="48" t="s">
        <v>1644</v>
      </c>
      <c r="D596" s="8" t="s">
        <v>1645</v>
      </c>
      <c r="E596" s="4" t="s">
        <v>16</v>
      </c>
      <c r="F596" s="48" t="s">
        <v>17</v>
      </c>
      <c r="G596" s="47" t="s">
        <v>92</v>
      </c>
      <c r="H596" s="47" t="s">
        <v>55</v>
      </c>
      <c r="I596" s="49" t="s">
        <v>1463</v>
      </c>
      <c r="J596" s="9" t="s">
        <v>1646</v>
      </c>
      <c r="K596" s="10"/>
    </row>
    <row r="597" spans="1:11" x14ac:dyDescent="0.35">
      <c r="A597" s="47"/>
      <c r="B597" s="47"/>
      <c r="C597" s="47"/>
      <c r="D597" s="11" t="s">
        <v>1647</v>
      </c>
      <c r="E597" s="12" t="s">
        <v>23</v>
      </c>
      <c r="F597" s="48"/>
      <c r="G597" s="48"/>
      <c r="H597" s="48"/>
      <c r="I597" s="48"/>
      <c r="J597" s="13" t="s">
        <v>1648</v>
      </c>
      <c r="K597" s="14"/>
    </row>
    <row r="598" spans="1:11" x14ac:dyDescent="0.35">
      <c r="A598" s="47"/>
      <c r="B598" s="47"/>
      <c r="C598" s="47"/>
      <c r="D598" s="15" t="s">
        <v>1649</v>
      </c>
      <c r="E598" s="16" t="s">
        <v>23</v>
      </c>
      <c r="F598" s="48"/>
      <c r="G598" s="48"/>
      <c r="H598" s="48"/>
      <c r="I598" s="48"/>
      <c r="J598" s="17" t="s">
        <v>1650</v>
      </c>
      <c r="K598" s="18"/>
    </row>
    <row r="599" spans="1:11" ht="23.9" customHeight="1" x14ac:dyDescent="0.35">
      <c r="A599" s="50">
        <v>200</v>
      </c>
      <c r="B599" s="50" t="s">
        <v>1651</v>
      </c>
      <c r="C599" s="51" t="s">
        <v>1652</v>
      </c>
      <c r="D599" s="19" t="s">
        <v>1653</v>
      </c>
      <c r="E599" s="2" t="s">
        <v>16</v>
      </c>
      <c r="F599" s="1" t="s">
        <v>1654</v>
      </c>
      <c r="G599" s="2" t="s">
        <v>92</v>
      </c>
      <c r="H599" s="50" t="s">
        <v>55</v>
      </c>
      <c r="I599" s="52" t="s">
        <v>1463</v>
      </c>
      <c r="J599" s="20" t="s">
        <v>1655</v>
      </c>
      <c r="K599" s="10"/>
    </row>
    <row r="600" spans="1:11" x14ac:dyDescent="0.35">
      <c r="A600" s="50"/>
      <c r="B600" s="50"/>
      <c r="C600" s="50"/>
      <c r="D600" s="21" t="s">
        <v>1656</v>
      </c>
      <c r="E600" s="22" t="s">
        <v>23</v>
      </c>
      <c r="F600" s="21" t="s">
        <v>17</v>
      </c>
      <c r="G600" s="22" t="s">
        <v>42</v>
      </c>
      <c r="H600" s="50"/>
      <c r="I600" s="50"/>
      <c r="J600" s="23" t="s">
        <v>1657</v>
      </c>
      <c r="K600" s="14"/>
    </row>
    <row r="601" spans="1:11" x14ac:dyDescent="0.35">
      <c r="A601" s="50"/>
      <c r="B601" s="50"/>
      <c r="C601" s="50"/>
      <c r="D601" s="24" t="s">
        <v>1658</v>
      </c>
      <c r="E601" s="25" t="s">
        <v>23</v>
      </c>
      <c r="F601" s="24" t="s">
        <v>17</v>
      </c>
      <c r="G601" s="25" t="s">
        <v>42</v>
      </c>
      <c r="H601" s="50"/>
      <c r="I601" s="50"/>
      <c r="J601" s="26" t="s">
        <v>1659</v>
      </c>
      <c r="K601" s="18"/>
    </row>
    <row r="602" spans="1:11" ht="15" customHeight="1" x14ac:dyDescent="0.35">
      <c r="A602" s="47">
        <v>201</v>
      </c>
      <c r="B602" s="47" t="s">
        <v>1660</v>
      </c>
      <c r="C602" s="48" t="s">
        <v>1661</v>
      </c>
      <c r="D602" s="8" t="s">
        <v>1662</v>
      </c>
      <c r="E602" s="4" t="s">
        <v>16</v>
      </c>
      <c r="F602" s="48" t="s">
        <v>438</v>
      </c>
      <c r="G602" s="47" t="s">
        <v>30</v>
      </c>
      <c r="H602" s="47" t="s">
        <v>19</v>
      </c>
      <c r="I602" s="49" t="s">
        <v>1463</v>
      </c>
      <c r="J602" s="9" t="s">
        <v>1663</v>
      </c>
      <c r="K602" s="10"/>
    </row>
    <row r="603" spans="1:11" x14ac:dyDescent="0.35">
      <c r="A603" s="47"/>
      <c r="B603" s="47"/>
      <c r="C603" s="47"/>
      <c r="D603" s="11" t="s">
        <v>1664</v>
      </c>
      <c r="E603" s="12" t="s">
        <v>23</v>
      </c>
      <c r="F603" s="48"/>
      <c r="G603" s="48"/>
      <c r="H603" s="48"/>
      <c r="I603" s="48"/>
      <c r="J603" s="13" t="s">
        <v>1665</v>
      </c>
      <c r="K603" s="14"/>
    </row>
    <row r="604" spans="1:11" x14ac:dyDescent="0.35">
      <c r="A604" s="47"/>
      <c r="B604" s="47"/>
      <c r="C604" s="47"/>
      <c r="D604" s="15" t="s">
        <v>1666</v>
      </c>
      <c r="E604" s="16" t="s">
        <v>23</v>
      </c>
      <c r="F604" s="48"/>
      <c r="G604" s="48"/>
      <c r="H604" s="48"/>
      <c r="I604" s="48"/>
      <c r="J604" s="17" t="s">
        <v>1667</v>
      </c>
      <c r="K604" s="18"/>
    </row>
    <row r="605" spans="1:11" ht="15" customHeight="1" x14ac:dyDescent="0.35">
      <c r="A605" s="50">
        <v>202</v>
      </c>
      <c r="B605" s="50" t="s">
        <v>1668</v>
      </c>
      <c r="C605" s="51" t="s">
        <v>1669</v>
      </c>
      <c r="D605" s="19" t="s">
        <v>1670</v>
      </c>
      <c r="E605" s="2" t="s">
        <v>16</v>
      </c>
      <c r="F605" s="51" t="s">
        <v>17</v>
      </c>
      <c r="G605" s="50" t="s">
        <v>18</v>
      </c>
      <c r="H605" s="50" t="s">
        <v>55</v>
      </c>
      <c r="I605" s="52" t="s">
        <v>1463</v>
      </c>
      <c r="J605" s="20" t="s">
        <v>1671</v>
      </c>
      <c r="K605" s="10"/>
    </row>
    <row r="606" spans="1:11" x14ac:dyDescent="0.35">
      <c r="A606" s="50"/>
      <c r="B606" s="50"/>
      <c r="C606" s="50"/>
      <c r="D606" s="21" t="s">
        <v>1672</v>
      </c>
      <c r="E606" s="22" t="s">
        <v>23</v>
      </c>
      <c r="F606" s="51"/>
      <c r="G606" s="51"/>
      <c r="H606" s="51"/>
      <c r="I606" s="51"/>
      <c r="J606" s="23" t="s">
        <v>1673</v>
      </c>
      <c r="K606" s="14"/>
    </row>
    <row r="607" spans="1:11" x14ac:dyDescent="0.35">
      <c r="A607" s="50"/>
      <c r="B607" s="50"/>
      <c r="C607" s="50"/>
      <c r="D607" s="24" t="s">
        <v>1674</v>
      </c>
      <c r="E607" s="25" t="s">
        <v>23</v>
      </c>
      <c r="F607" s="51"/>
      <c r="G607" s="51"/>
      <c r="H607" s="51"/>
      <c r="I607" s="51"/>
      <c r="J607" s="26" t="s">
        <v>1675</v>
      </c>
      <c r="K607" s="18"/>
    </row>
    <row r="608" spans="1:11" ht="15" customHeight="1" x14ac:dyDescent="0.35">
      <c r="A608" s="47">
        <v>203</v>
      </c>
      <c r="B608" s="47" t="s">
        <v>1676</v>
      </c>
      <c r="C608" s="48" t="s">
        <v>1677</v>
      </c>
      <c r="D608" s="8" t="s">
        <v>1678</v>
      </c>
      <c r="E608" s="4" t="s">
        <v>16</v>
      </c>
      <c r="F608" s="48" t="s">
        <v>17</v>
      </c>
      <c r="G608" s="4" t="s">
        <v>324</v>
      </c>
      <c r="H608" s="47" t="s">
        <v>55</v>
      </c>
      <c r="I608" s="49" t="s">
        <v>1679</v>
      </c>
      <c r="J608" s="9" t="s">
        <v>1680</v>
      </c>
      <c r="K608" s="10"/>
    </row>
    <row r="609" spans="1:11" x14ac:dyDescent="0.35">
      <c r="A609" s="47"/>
      <c r="B609" s="47"/>
      <c r="C609" s="47"/>
      <c r="D609" s="11" t="s">
        <v>1681</v>
      </c>
      <c r="E609" s="12" t="s">
        <v>23</v>
      </c>
      <c r="F609" s="48"/>
      <c r="G609" s="12" t="s">
        <v>30</v>
      </c>
      <c r="H609" s="47"/>
      <c r="I609" s="47"/>
      <c r="J609" s="13" t="s">
        <v>1682</v>
      </c>
      <c r="K609" s="14"/>
    </row>
    <row r="610" spans="1:11" x14ac:dyDescent="0.35">
      <c r="A610" s="47"/>
      <c r="B610" s="47"/>
      <c r="C610" s="47"/>
      <c r="D610" s="15" t="s">
        <v>1683</v>
      </c>
      <c r="E610" s="16" t="s">
        <v>23</v>
      </c>
      <c r="F610" s="48"/>
      <c r="G610" s="16" t="s">
        <v>30</v>
      </c>
      <c r="H610" s="47"/>
      <c r="I610" s="47"/>
      <c r="J610" s="17" t="s">
        <v>1684</v>
      </c>
      <c r="K610" s="18"/>
    </row>
    <row r="611" spans="1:11" ht="15" customHeight="1" x14ac:dyDescent="0.35">
      <c r="A611" s="50">
        <v>204</v>
      </c>
      <c r="B611" s="50" t="s">
        <v>1685</v>
      </c>
      <c r="C611" s="51" t="s">
        <v>1686</v>
      </c>
      <c r="D611" s="19" t="s">
        <v>1687</v>
      </c>
      <c r="E611" s="2" t="s">
        <v>16</v>
      </c>
      <c r="F611" s="51" t="s">
        <v>17</v>
      </c>
      <c r="G611" s="2" t="s">
        <v>42</v>
      </c>
      <c r="H611" s="50" t="s">
        <v>55</v>
      </c>
      <c r="I611" s="52" t="s">
        <v>1679</v>
      </c>
      <c r="J611" s="20" t="s">
        <v>1688</v>
      </c>
      <c r="K611" s="10"/>
    </row>
    <row r="612" spans="1:11" x14ac:dyDescent="0.35">
      <c r="A612" s="50"/>
      <c r="B612" s="50"/>
      <c r="C612" s="50"/>
      <c r="D612" s="21" t="s">
        <v>1689</v>
      </c>
      <c r="E612" s="22" t="s">
        <v>23</v>
      </c>
      <c r="F612" s="51"/>
      <c r="G612" s="22" t="s">
        <v>42</v>
      </c>
      <c r="H612" s="50"/>
      <c r="I612" s="50"/>
      <c r="J612" s="23" t="s">
        <v>1690</v>
      </c>
      <c r="K612" s="14"/>
    </row>
    <row r="613" spans="1:11" x14ac:dyDescent="0.35">
      <c r="A613" s="50"/>
      <c r="B613" s="50"/>
      <c r="C613" s="50"/>
      <c r="D613" s="24" t="s">
        <v>1691</v>
      </c>
      <c r="E613" s="25" t="s">
        <v>23</v>
      </c>
      <c r="F613" s="51"/>
      <c r="G613" s="25" t="s">
        <v>1692</v>
      </c>
      <c r="H613" s="50"/>
      <c r="I613" s="50"/>
      <c r="J613" s="26" t="s">
        <v>1693</v>
      </c>
      <c r="K613" s="18"/>
    </row>
    <row r="614" spans="1:11" ht="15" customHeight="1" x14ac:dyDescent="0.35">
      <c r="A614" s="47">
        <v>205</v>
      </c>
      <c r="B614" s="47" t="s">
        <v>1694</v>
      </c>
      <c r="C614" s="48" t="s">
        <v>1695</v>
      </c>
      <c r="D614" s="8" t="s">
        <v>1696</v>
      </c>
      <c r="E614" s="4" t="s">
        <v>16</v>
      </c>
      <c r="F614" s="48" t="s">
        <v>17</v>
      </c>
      <c r="G614" s="47" t="s">
        <v>37</v>
      </c>
      <c r="H614" s="47" t="s">
        <v>55</v>
      </c>
      <c r="I614" s="49" t="s">
        <v>1679</v>
      </c>
      <c r="J614" s="9" t="s">
        <v>1697</v>
      </c>
      <c r="K614" s="10"/>
    </row>
    <row r="615" spans="1:11" x14ac:dyDescent="0.35">
      <c r="A615" s="47"/>
      <c r="B615" s="47"/>
      <c r="C615" s="47"/>
      <c r="D615" s="11" t="s">
        <v>1698</v>
      </c>
      <c r="E615" s="12" t="s">
        <v>23</v>
      </c>
      <c r="F615" s="48"/>
      <c r="G615" s="48"/>
      <c r="H615" s="48"/>
      <c r="I615" s="48"/>
      <c r="J615" s="13" t="s">
        <v>1699</v>
      </c>
      <c r="K615" s="14"/>
    </row>
    <row r="616" spans="1:11" x14ac:dyDescent="0.35">
      <c r="A616" s="47"/>
      <c r="B616" s="47"/>
      <c r="C616" s="47"/>
      <c r="D616" s="15" t="s">
        <v>1700</v>
      </c>
      <c r="E616" s="16" t="s">
        <v>23</v>
      </c>
      <c r="F616" s="48"/>
      <c r="G616" s="48"/>
      <c r="H616" s="48"/>
      <c r="I616" s="48"/>
      <c r="J616" s="17" t="s">
        <v>1701</v>
      </c>
      <c r="K616" s="18"/>
    </row>
    <row r="617" spans="1:11" ht="15" customHeight="1" x14ac:dyDescent="0.35">
      <c r="A617" s="50">
        <v>206</v>
      </c>
      <c r="B617" s="50" t="s">
        <v>1702</v>
      </c>
      <c r="C617" s="51" t="s">
        <v>1703</v>
      </c>
      <c r="D617" s="19" t="s">
        <v>1704</v>
      </c>
      <c r="E617" s="2" t="s">
        <v>16</v>
      </c>
      <c r="F617" s="51" t="s">
        <v>438</v>
      </c>
      <c r="G617" s="50" t="s">
        <v>324</v>
      </c>
      <c r="H617" s="50" t="s">
        <v>55</v>
      </c>
      <c r="I617" s="52" t="s">
        <v>1679</v>
      </c>
      <c r="J617" s="20" t="s">
        <v>1705</v>
      </c>
      <c r="K617" s="10"/>
    </row>
    <row r="618" spans="1:11" x14ac:dyDescent="0.35">
      <c r="A618" s="50"/>
      <c r="B618" s="50"/>
      <c r="C618" s="50"/>
      <c r="D618" s="21" t="s">
        <v>1706</v>
      </c>
      <c r="E618" s="22" t="s">
        <v>23</v>
      </c>
      <c r="F618" s="51"/>
      <c r="G618" s="51"/>
      <c r="H618" s="51"/>
      <c r="I618" s="51"/>
      <c r="J618" s="23" t="s">
        <v>1707</v>
      </c>
      <c r="K618" s="14"/>
    </row>
    <row r="619" spans="1:11" x14ac:dyDescent="0.35">
      <c r="A619" s="50"/>
      <c r="B619" s="50"/>
      <c r="C619" s="50"/>
      <c r="D619" s="24" t="s">
        <v>1708</v>
      </c>
      <c r="E619" s="25" t="s">
        <v>23</v>
      </c>
      <c r="F619" s="51"/>
      <c r="G619" s="51"/>
      <c r="H619" s="51"/>
      <c r="I619" s="51"/>
      <c r="J619" s="26" t="s">
        <v>1709</v>
      </c>
      <c r="K619" s="18"/>
    </row>
    <row r="620" spans="1:11" ht="15" customHeight="1" x14ac:dyDescent="0.35">
      <c r="A620" s="47">
        <v>207</v>
      </c>
      <c r="B620" s="47" t="s">
        <v>1710</v>
      </c>
      <c r="C620" s="48" t="s">
        <v>1711</v>
      </c>
      <c r="D620" s="8" t="s">
        <v>1712</v>
      </c>
      <c r="E620" s="4" t="s">
        <v>16</v>
      </c>
      <c r="F620" s="48" t="s">
        <v>17</v>
      </c>
      <c r="G620" s="47" t="s">
        <v>30</v>
      </c>
      <c r="H620" s="47" t="s">
        <v>55</v>
      </c>
      <c r="I620" s="49" t="s">
        <v>1679</v>
      </c>
      <c r="J620" s="9" t="s">
        <v>1713</v>
      </c>
      <c r="K620" s="10"/>
    </row>
    <row r="621" spans="1:11" x14ac:dyDescent="0.35">
      <c r="A621" s="47"/>
      <c r="B621" s="47"/>
      <c r="C621" s="47"/>
      <c r="D621" s="11" t="s">
        <v>1714</v>
      </c>
      <c r="E621" s="12" t="s">
        <v>23</v>
      </c>
      <c r="F621" s="48"/>
      <c r="G621" s="48"/>
      <c r="H621" s="48"/>
      <c r="I621" s="48"/>
      <c r="J621" s="13" t="s">
        <v>1715</v>
      </c>
      <c r="K621" s="14"/>
    </row>
    <row r="622" spans="1:11" x14ac:dyDescent="0.35">
      <c r="A622" s="47"/>
      <c r="B622" s="47"/>
      <c r="C622" s="47"/>
      <c r="D622" s="15" t="s">
        <v>1716</v>
      </c>
      <c r="E622" s="16" t="s">
        <v>23</v>
      </c>
      <c r="F622" s="48"/>
      <c r="G622" s="48"/>
      <c r="H622" s="48"/>
      <c r="I622" s="48"/>
      <c r="J622" s="17" t="s">
        <v>1717</v>
      </c>
      <c r="K622" s="18"/>
    </row>
    <row r="623" spans="1:11" ht="15" customHeight="1" x14ac:dyDescent="0.35">
      <c r="A623" s="50">
        <v>208</v>
      </c>
      <c r="B623" s="50" t="s">
        <v>1718</v>
      </c>
      <c r="C623" s="51" t="s">
        <v>1719</v>
      </c>
      <c r="D623" s="19" t="s">
        <v>1720</v>
      </c>
      <c r="E623" s="2" t="s">
        <v>16</v>
      </c>
      <c r="F623" s="51" t="s">
        <v>17</v>
      </c>
      <c r="G623" s="2" t="s">
        <v>324</v>
      </c>
      <c r="H623" s="50" t="s">
        <v>31</v>
      </c>
      <c r="I623" s="52" t="s">
        <v>1679</v>
      </c>
      <c r="J623" s="20" t="s">
        <v>1721</v>
      </c>
      <c r="K623" s="10"/>
    </row>
    <row r="624" spans="1:11" x14ac:dyDescent="0.35">
      <c r="A624" s="50"/>
      <c r="B624" s="50"/>
      <c r="C624" s="50"/>
      <c r="D624" s="21" t="s">
        <v>1722</v>
      </c>
      <c r="E624" s="22" t="s">
        <v>23</v>
      </c>
      <c r="F624" s="51"/>
      <c r="G624" s="22" t="s">
        <v>92</v>
      </c>
      <c r="H624" s="50"/>
      <c r="I624" s="50"/>
      <c r="J624" s="23" t="s">
        <v>1723</v>
      </c>
      <c r="K624" s="14"/>
    </row>
    <row r="625" spans="1:11" x14ac:dyDescent="0.35">
      <c r="A625" s="50"/>
      <c r="B625" s="50"/>
      <c r="C625" s="50"/>
      <c r="D625" s="24" t="s">
        <v>1724</v>
      </c>
      <c r="E625" s="25" t="s">
        <v>23</v>
      </c>
      <c r="F625" s="51"/>
      <c r="G625" s="25" t="s">
        <v>300</v>
      </c>
      <c r="H625" s="50"/>
      <c r="I625" s="50"/>
      <c r="J625" s="26" t="s">
        <v>1725</v>
      </c>
      <c r="K625" s="18"/>
    </row>
    <row r="626" spans="1:11" ht="15" customHeight="1" x14ac:dyDescent="0.35">
      <c r="A626" s="47">
        <v>209</v>
      </c>
      <c r="B626" s="47" t="s">
        <v>1726</v>
      </c>
      <c r="C626" s="48" t="s">
        <v>1727</v>
      </c>
      <c r="D626" s="8" t="s">
        <v>1728</v>
      </c>
      <c r="E626" s="4" t="s">
        <v>16</v>
      </c>
      <c r="F626" s="48" t="s">
        <v>17</v>
      </c>
      <c r="G626" s="47" t="s">
        <v>92</v>
      </c>
      <c r="H626" s="47" t="s">
        <v>31</v>
      </c>
      <c r="I626" s="49" t="s">
        <v>1679</v>
      </c>
      <c r="J626" s="9" t="s">
        <v>1729</v>
      </c>
      <c r="K626" s="10"/>
    </row>
    <row r="627" spans="1:11" x14ac:dyDescent="0.35">
      <c r="A627" s="47"/>
      <c r="B627" s="47"/>
      <c r="C627" s="47"/>
      <c r="D627" s="11" t="s">
        <v>1730</v>
      </c>
      <c r="E627" s="12" t="s">
        <v>23</v>
      </c>
      <c r="F627" s="48"/>
      <c r="G627" s="48"/>
      <c r="H627" s="48"/>
      <c r="I627" s="48"/>
      <c r="J627" s="13" t="s">
        <v>1731</v>
      </c>
      <c r="K627" s="14"/>
    </row>
    <row r="628" spans="1:11" x14ac:dyDescent="0.35">
      <c r="A628" s="47"/>
      <c r="B628" s="47"/>
      <c r="C628" s="47"/>
      <c r="D628" s="15" t="s">
        <v>1732</v>
      </c>
      <c r="E628" s="16" t="s">
        <v>23</v>
      </c>
      <c r="F628" s="48"/>
      <c r="G628" s="48"/>
      <c r="H628" s="48"/>
      <c r="I628" s="48"/>
      <c r="J628" s="17" t="s">
        <v>1733</v>
      </c>
      <c r="K628" s="18"/>
    </row>
    <row r="629" spans="1:11" ht="15" customHeight="1" x14ac:dyDescent="0.35">
      <c r="A629" s="50">
        <v>210</v>
      </c>
      <c r="B629" s="50" t="s">
        <v>1734</v>
      </c>
      <c r="C629" s="51" t="s">
        <v>1735</v>
      </c>
      <c r="D629" s="19" t="s">
        <v>1736</v>
      </c>
      <c r="E629" s="2" t="s">
        <v>16</v>
      </c>
      <c r="F629" s="51" t="s">
        <v>17</v>
      </c>
      <c r="G629" s="50" t="s">
        <v>30</v>
      </c>
      <c r="H629" s="50" t="s">
        <v>55</v>
      </c>
      <c r="I629" s="52" t="s">
        <v>1679</v>
      </c>
      <c r="J629" s="20" t="s">
        <v>1737</v>
      </c>
      <c r="K629" s="10"/>
    </row>
    <row r="630" spans="1:11" x14ac:dyDescent="0.35">
      <c r="A630" s="50"/>
      <c r="B630" s="50"/>
      <c r="C630" s="50"/>
      <c r="D630" s="21" t="s">
        <v>1738</v>
      </c>
      <c r="E630" s="22" t="s">
        <v>23</v>
      </c>
      <c r="F630" s="51"/>
      <c r="G630" s="51"/>
      <c r="H630" s="51"/>
      <c r="I630" s="51"/>
      <c r="J630" s="23" t="s">
        <v>1739</v>
      </c>
      <c r="K630" s="14"/>
    </row>
    <row r="631" spans="1:11" x14ac:dyDescent="0.35">
      <c r="A631" s="50"/>
      <c r="B631" s="50"/>
      <c r="C631" s="50"/>
      <c r="D631" s="24" t="s">
        <v>1740</v>
      </c>
      <c r="E631" s="25" t="s">
        <v>23</v>
      </c>
      <c r="F631" s="51"/>
      <c r="G631" s="51"/>
      <c r="H631" s="51"/>
      <c r="I631" s="51"/>
      <c r="J631" s="26" t="s">
        <v>1741</v>
      </c>
      <c r="K631" s="18"/>
    </row>
    <row r="632" spans="1:11" ht="15" customHeight="1" x14ac:dyDescent="0.35">
      <c r="A632" s="47">
        <v>211</v>
      </c>
      <c r="B632" s="47" t="s">
        <v>1742</v>
      </c>
      <c r="C632" s="48" t="s">
        <v>1743</v>
      </c>
      <c r="D632" s="8" t="s">
        <v>1744</v>
      </c>
      <c r="E632" s="4" t="s">
        <v>16</v>
      </c>
      <c r="F632" s="3" t="s">
        <v>1745</v>
      </c>
      <c r="G632" s="4" t="s">
        <v>324</v>
      </c>
      <c r="H632" s="4" t="s">
        <v>55</v>
      </c>
      <c r="I632" s="49" t="s">
        <v>1746</v>
      </c>
      <c r="J632" s="9" t="s">
        <v>1747</v>
      </c>
      <c r="K632" s="10"/>
    </row>
    <row r="633" spans="1:11" x14ac:dyDescent="0.35">
      <c r="A633" s="47"/>
      <c r="B633" s="47"/>
      <c r="C633" s="47"/>
      <c r="D633" s="11" t="s">
        <v>1748</v>
      </c>
      <c r="E633" s="12" t="s">
        <v>23</v>
      </c>
      <c r="F633" s="11" t="s">
        <v>1745</v>
      </c>
      <c r="G633" s="12" t="s">
        <v>1749</v>
      </c>
      <c r="H633" s="12" t="s">
        <v>55</v>
      </c>
      <c r="I633" s="49"/>
      <c r="J633" s="13" t="s">
        <v>1747</v>
      </c>
      <c r="K633" s="14"/>
    </row>
    <row r="634" spans="1:11" ht="25" x14ac:dyDescent="0.35">
      <c r="A634" s="47"/>
      <c r="B634" s="47"/>
      <c r="C634" s="47"/>
      <c r="D634" s="15" t="s">
        <v>1750</v>
      </c>
      <c r="E634" s="16" t="s">
        <v>23</v>
      </c>
      <c r="F634" s="15" t="s">
        <v>553</v>
      </c>
      <c r="G634" s="16" t="s">
        <v>324</v>
      </c>
      <c r="H634" s="16" t="s">
        <v>31</v>
      </c>
      <c r="I634" s="49"/>
      <c r="J634" s="17" t="s">
        <v>1747</v>
      </c>
      <c r="K634" s="18"/>
    </row>
    <row r="635" spans="1:11" ht="15" customHeight="1" x14ac:dyDescent="0.35">
      <c r="A635" s="50">
        <v>212</v>
      </c>
      <c r="B635" s="50" t="s">
        <v>1751</v>
      </c>
      <c r="C635" s="51" t="s">
        <v>1752</v>
      </c>
      <c r="D635" s="19" t="s">
        <v>1753</v>
      </c>
      <c r="E635" s="2" t="s">
        <v>16</v>
      </c>
      <c r="F635" s="51" t="s">
        <v>577</v>
      </c>
      <c r="G635" s="50" t="s">
        <v>92</v>
      </c>
      <c r="H635" s="50" t="s">
        <v>55</v>
      </c>
      <c r="I635" s="52" t="s">
        <v>1746</v>
      </c>
      <c r="J635" s="20" t="s">
        <v>1747</v>
      </c>
      <c r="K635" s="10"/>
    </row>
    <row r="636" spans="1:11" x14ac:dyDescent="0.35">
      <c r="A636" s="50"/>
      <c r="B636" s="50"/>
      <c r="C636" s="50"/>
      <c r="D636" s="21" t="s">
        <v>1754</v>
      </c>
      <c r="E636" s="22" t="s">
        <v>23</v>
      </c>
      <c r="F636" s="51"/>
      <c r="G636" s="51"/>
      <c r="H636" s="51"/>
      <c r="I636" s="51"/>
      <c r="J636" s="23" t="s">
        <v>1747</v>
      </c>
      <c r="K636" s="14"/>
    </row>
    <row r="637" spans="1:11" x14ac:dyDescent="0.35">
      <c r="A637" s="50"/>
      <c r="B637" s="50"/>
      <c r="C637" s="50"/>
      <c r="D637" s="24" t="s">
        <v>1755</v>
      </c>
      <c r="E637" s="25" t="s">
        <v>23</v>
      </c>
      <c r="F637" s="51"/>
      <c r="G637" s="51"/>
      <c r="H637" s="51"/>
      <c r="I637" s="51"/>
      <c r="J637" s="26" t="s">
        <v>1747</v>
      </c>
      <c r="K637" s="18"/>
    </row>
    <row r="638" spans="1:11" ht="15" customHeight="1" x14ac:dyDescent="0.35">
      <c r="A638" s="47">
        <v>213</v>
      </c>
      <c r="B638" s="47" t="s">
        <v>1756</v>
      </c>
      <c r="C638" s="48" t="s">
        <v>1757</v>
      </c>
      <c r="D638" s="8" t="s">
        <v>1758</v>
      </c>
      <c r="E638" s="4" t="s">
        <v>16</v>
      </c>
      <c r="F638" s="48" t="s">
        <v>243</v>
      </c>
      <c r="G638" s="47" t="s">
        <v>92</v>
      </c>
      <c r="H638" s="47" t="s">
        <v>55</v>
      </c>
      <c r="I638" s="49" t="s">
        <v>1746</v>
      </c>
      <c r="J638" s="9" t="s">
        <v>1747</v>
      </c>
      <c r="K638" s="10"/>
    </row>
    <row r="639" spans="1:11" x14ac:dyDescent="0.35">
      <c r="A639" s="47"/>
      <c r="B639" s="47"/>
      <c r="C639" s="47"/>
      <c r="D639" s="11" t="s">
        <v>1759</v>
      </c>
      <c r="E639" s="12" t="s">
        <v>23</v>
      </c>
      <c r="F639" s="48"/>
      <c r="G639" s="48"/>
      <c r="H639" s="48"/>
      <c r="I639" s="48"/>
      <c r="J639" s="13" t="s">
        <v>1747</v>
      </c>
      <c r="K639" s="14"/>
    </row>
    <row r="640" spans="1:11" x14ac:dyDescent="0.35">
      <c r="A640" s="47"/>
      <c r="B640" s="47"/>
      <c r="C640" s="47"/>
      <c r="D640" s="15" t="s">
        <v>1760</v>
      </c>
      <c r="E640" s="16" t="s">
        <v>23</v>
      </c>
      <c r="F640" s="48"/>
      <c r="G640" s="48"/>
      <c r="H640" s="48"/>
      <c r="I640" s="48"/>
      <c r="J640" s="17" t="s">
        <v>1747</v>
      </c>
      <c r="K640" s="18"/>
    </row>
    <row r="641" spans="1:11" ht="15" customHeight="1" x14ac:dyDescent="0.35">
      <c r="A641" s="50">
        <v>214</v>
      </c>
      <c r="B641" s="50" t="s">
        <v>1761</v>
      </c>
      <c r="C641" s="51" t="s">
        <v>1762</v>
      </c>
      <c r="D641" s="19" t="s">
        <v>1763</v>
      </c>
      <c r="E641" s="2" t="s">
        <v>16</v>
      </c>
      <c r="F641" s="51" t="s">
        <v>577</v>
      </c>
      <c r="G641" s="50" t="s">
        <v>92</v>
      </c>
      <c r="H641" s="50" t="s">
        <v>55</v>
      </c>
      <c r="I641" s="52" t="s">
        <v>1746</v>
      </c>
      <c r="J641" s="20" t="s">
        <v>1747</v>
      </c>
      <c r="K641" s="10"/>
    </row>
    <row r="642" spans="1:11" x14ac:dyDescent="0.35">
      <c r="A642" s="50"/>
      <c r="B642" s="50"/>
      <c r="C642" s="50"/>
      <c r="D642" s="21" t="s">
        <v>1764</v>
      </c>
      <c r="E642" s="22" t="s">
        <v>23</v>
      </c>
      <c r="F642" s="51"/>
      <c r="G642" s="51"/>
      <c r="H642" s="51"/>
      <c r="I642" s="51"/>
      <c r="J642" s="23" t="s">
        <v>1747</v>
      </c>
      <c r="K642" s="14"/>
    </row>
    <row r="643" spans="1:11" x14ac:dyDescent="0.35">
      <c r="A643" s="50"/>
      <c r="B643" s="50"/>
      <c r="C643" s="50"/>
      <c r="D643" s="24" t="s">
        <v>1765</v>
      </c>
      <c r="E643" s="25" t="s">
        <v>23</v>
      </c>
      <c r="F643" s="51"/>
      <c r="G643" s="51"/>
      <c r="H643" s="51"/>
      <c r="I643" s="51"/>
      <c r="J643" s="26" t="s">
        <v>1747</v>
      </c>
      <c r="K643" s="18"/>
    </row>
  </sheetData>
  <autoFilter ref="A4:K643" xr:uid="{00000000-0001-0000-0000-000000000000}"/>
  <mergeCells count="1393">
    <mergeCell ref="A5:A7"/>
    <mergeCell ref="B5:B7"/>
    <mergeCell ref="C5:C7"/>
    <mergeCell ref="F5:F7"/>
    <mergeCell ref="G5:G7"/>
    <mergeCell ref="H5:H7"/>
    <mergeCell ref="I5:I7"/>
    <mergeCell ref="A8:A10"/>
    <mergeCell ref="B8:B10"/>
    <mergeCell ref="C8:C10"/>
    <mergeCell ref="F8:F10"/>
    <mergeCell ref="H8:H10"/>
    <mergeCell ref="I8:I10"/>
    <mergeCell ref="A11:A13"/>
    <mergeCell ref="B11:B13"/>
    <mergeCell ref="C11:C13"/>
    <mergeCell ref="F11:F13"/>
    <mergeCell ref="G11:G13"/>
    <mergeCell ref="H11:H13"/>
    <mergeCell ref="I11:I13"/>
    <mergeCell ref="A14:A16"/>
    <mergeCell ref="B14:B16"/>
    <mergeCell ref="C14:C16"/>
    <mergeCell ref="F14:F16"/>
    <mergeCell ref="I14:I16"/>
    <mergeCell ref="A17:A19"/>
    <mergeCell ref="B17:B19"/>
    <mergeCell ref="C17:C19"/>
    <mergeCell ref="F17:F19"/>
    <mergeCell ref="G17:G19"/>
    <mergeCell ref="H17:H19"/>
    <mergeCell ref="I17:I19"/>
    <mergeCell ref="A20:A22"/>
    <mergeCell ref="B20:B22"/>
    <mergeCell ref="C20:C22"/>
    <mergeCell ref="F20:F22"/>
    <mergeCell ref="H20:H22"/>
    <mergeCell ref="I20:I22"/>
    <mergeCell ref="A23:A25"/>
    <mergeCell ref="B23:B25"/>
    <mergeCell ref="C23:C25"/>
    <mergeCell ref="F23:F25"/>
    <mergeCell ref="G23:G25"/>
    <mergeCell ref="H23:H25"/>
    <mergeCell ref="I23:I25"/>
    <mergeCell ref="A26:A28"/>
    <mergeCell ref="B26:B28"/>
    <mergeCell ref="C26:C28"/>
    <mergeCell ref="F26:F28"/>
    <mergeCell ref="H26:H28"/>
    <mergeCell ref="I26:I28"/>
    <mergeCell ref="A29:A31"/>
    <mergeCell ref="B29:B31"/>
    <mergeCell ref="C29:C31"/>
    <mergeCell ref="F29:F31"/>
    <mergeCell ref="G29:G31"/>
    <mergeCell ref="H29:H31"/>
    <mergeCell ref="I29:I31"/>
    <mergeCell ref="A32:A34"/>
    <mergeCell ref="B32:B34"/>
    <mergeCell ref="C32:C34"/>
    <mergeCell ref="F32:F34"/>
    <mergeCell ref="G32:G34"/>
    <mergeCell ref="H32:H34"/>
    <mergeCell ref="I32:I34"/>
    <mergeCell ref="A35:A37"/>
    <mergeCell ref="B35:B37"/>
    <mergeCell ref="C35:C37"/>
    <mergeCell ref="F35:F37"/>
    <mergeCell ref="G35:G37"/>
    <mergeCell ref="H35:H37"/>
    <mergeCell ref="I35:I37"/>
    <mergeCell ref="A38:A40"/>
    <mergeCell ref="B38:B40"/>
    <mergeCell ref="C38:C40"/>
    <mergeCell ref="F38:F40"/>
    <mergeCell ref="G38:G40"/>
    <mergeCell ref="H38:H40"/>
    <mergeCell ref="I38:I40"/>
    <mergeCell ref="A41:A43"/>
    <mergeCell ref="B41:B43"/>
    <mergeCell ref="C41:C43"/>
    <mergeCell ref="F41:F43"/>
    <mergeCell ref="H41:H43"/>
    <mergeCell ref="I41:I43"/>
    <mergeCell ref="A44:A46"/>
    <mergeCell ref="B44:B46"/>
    <mergeCell ref="C44:C46"/>
    <mergeCell ref="H44:H46"/>
    <mergeCell ref="I44:I46"/>
    <mergeCell ref="A47:A49"/>
    <mergeCell ref="B47:B49"/>
    <mergeCell ref="C47:C49"/>
    <mergeCell ref="F47:F49"/>
    <mergeCell ref="G47:G49"/>
    <mergeCell ref="H47:H49"/>
    <mergeCell ref="I47:I49"/>
    <mergeCell ref="A50:A52"/>
    <mergeCell ref="B50:B52"/>
    <mergeCell ref="C50:C52"/>
    <mergeCell ref="F50:F52"/>
    <mergeCell ref="G50:G52"/>
    <mergeCell ref="H50:H52"/>
    <mergeCell ref="I50:I52"/>
    <mergeCell ref="A53:A55"/>
    <mergeCell ref="B53:B55"/>
    <mergeCell ref="C53:C55"/>
    <mergeCell ref="F53:F55"/>
    <mergeCell ref="G53:G55"/>
    <mergeCell ref="H53:H55"/>
    <mergeCell ref="I53:I55"/>
    <mergeCell ref="A56:A58"/>
    <mergeCell ref="B56:B58"/>
    <mergeCell ref="C56:C58"/>
    <mergeCell ref="F56:F58"/>
    <mergeCell ref="H56:H58"/>
    <mergeCell ref="I56:I58"/>
    <mergeCell ref="A59:A61"/>
    <mergeCell ref="B59:B61"/>
    <mergeCell ref="C59:C61"/>
    <mergeCell ref="F59:F61"/>
    <mergeCell ref="G59:G61"/>
    <mergeCell ref="H59:H61"/>
    <mergeCell ref="I59:I61"/>
    <mergeCell ref="A62:A64"/>
    <mergeCell ref="B62:B64"/>
    <mergeCell ref="C62:C64"/>
    <mergeCell ref="F62:F64"/>
    <mergeCell ref="G62:G64"/>
    <mergeCell ref="H62:H64"/>
    <mergeCell ref="I62:I64"/>
    <mergeCell ref="A65:A67"/>
    <mergeCell ref="B65:B67"/>
    <mergeCell ref="C65:C67"/>
    <mergeCell ref="F65:F67"/>
    <mergeCell ref="H65:H67"/>
    <mergeCell ref="I65:I67"/>
    <mergeCell ref="A68:A70"/>
    <mergeCell ref="B68:B70"/>
    <mergeCell ref="C68:C70"/>
    <mergeCell ref="F68:F70"/>
    <mergeCell ref="G68:G70"/>
    <mergeCell ref="H68:H70"/>
    <mergeCell ref="I68:I70"/>
    <mergeCell ref="A71:A73"/>
    <mergeCell ref="B71:B73"/>
    <mergeCell ref="C71:C73"/>
    <mergeCell ref="F71:F73"/>
    <mergeCell ref="G71:G73"/>
    <mergeCell ref="H71:H73"/>
    <mergeCell ref="I71:I73"/>
    <mergeCell ref="A74:A76"/>
    <mergeCell ref="B74:B76"/>
    <mergeCell ref="C74:C76"/>
    <mergeCell ref="F74:F76"/>
    <mergeCell ref="G74:G76"/>
    <mergeCell ref="H74:H76"/>
    <mergeCell ref="I74:I76"/>
    <mergeCell ref="A77:A79"/>
    <mergeCell ref="B77:B79"/>
    <mergeCell ref="C77:C79"/>
    <mergeCell ref="F77:F79"/>
    <mergeCell ref="G77:G79"/>
    <mergeCell ref="H77:H79"/>
    <mergeCell ref="I77:I79"/>
    <mergeCell ref="A80:A82"/>
    <mergeCell ref="B80:B82"/>
    <mergeCell ref="C80:C82"/>
    <mergeCell ref="F80:F82"/>
    <mergeCell ref="G80:G82"/>
    <mergeCell ref="H80:H82"/>
    <mergeCell ref="I80:I82"/>
    <mergeCell ref="A83:A85"/>
    <mergeCell ref="B83:B85"/>
    <mergeCell ref="C83:C85"/>
    <mergeCell ref="F83:F85"/>
    <mergeCell ref="G83:G85"/>
    <mergeCell ref="H83:H85"/>
    <mergeCell ref="I83:I85"/>
    <mergeCell ref="A86:A88"/>
    <mergeCell ref="B86:B88"/>
    <mergeCell ref="C86:C88"/>
    <mergeCell ref="F86:F88"/>
    <mergeCell ref="G86:G88"/>
    <mergeCell ref="H86:H88"/>
    <mergeCell ref="I86:I88"/>
    <mergeCell ref="A89:A91"/>
    <mergeCell ref="B89:B91"/>
    <mergeCell ref="C89:C91"/>
    <mergeCell ref="F89:F91"/>
    <mergeCell ref="G89:G91"/>
    <mergeCell ref="H89:H91"/>
    <mergeCell ref="I89:I91"/>
    <mergeCell ref="A92:A94"/>
    <mergeCell ref="B92:B94"/>
    <mergeCell ref="C92:C94"/>
    <mergeCell ref="F92:F94"/>
    <mergeCell ref="G92:G94"/>
    <mergeCell ref="H92:H94"/>
    <mergeCell ref="I92:I94"/>
    <mergeCell ref="A95:A97"/>
    <mergeCell ref="B95:B97"/>
    <mergeCell ref="C95:C97"/>
    <mergeCell ref="F95:F97"/>
    <mergeCell ref="G95:G97"/>
    <mergeCell ref="H95:H97"/>
    <mergeCell ref="I95:I97"/>
    <mergeCell ref="A98:A100"/>
    <mergeCell ref="B98:B100"/>
    <mergeCell ref="C98:C100"/>
    <mergeCell ref="F98:F100"/>
    <mergeCell ref="G98:G100"/>
    <mergeCell ref="I98:I100"/>
    <mergeCell ref="A101:A103"/>
    <mergeCell ref="B101:B103"/>
    <mergeCell ref="C101:C103"/>
    <mergeCell ref="H101:H103"/>
    <mergeCell ref="I101:I103"/>
    <mergeCell ref="A104:A106"/>
    <mergeCell ref="B104:B106"/>
    <mergeCell ref="C104:C106"/>
    <mergeCell ref="F104:F106"/>
    <mergeCell ref="G104:G106"/>
    <mergeCell ref="H104:H106"/>
    <mergeCell ref="I104:I106"/>
    <mergeCell ref="A107:A109"/>
    <mergeCell ref="B107:B109"/>
    <mergeCell ref="C107:C109"/>
    <mergeCell ref="F107:F109"/>
    <mergeCell ref="G107:G109"/>
    <mergeCell ref="H107:H109"/>
    <mergeCell ref="I107:I109"/>
    <mergeCell ref="A110:A112"/>
    <mergeCell ref="B110:B112"/>
    <mergeCell ref="C110:C112"/>
    <mergeCell ref="H110:H112"/>
    <mergeCell ref="I110:I112"/>
    <mergeCell ref="A113:A115"/>
    <mergeCell ref="B113:B115"/>
    <mergeCell ref="C113:C115"/>
    <mergeCell ref="F113:F115"/>
    <mergeCell ref="G113:G115"/>
    <mergeCell ref="H113:H115"/>
    <mergeCell ref="I113:I115"/>
    <mergeCell ref="A116:A118"/>
    <mergeCell ref="B116:B118"/>
    <mergeCell ref="C116:C118"/>
    <mergeCell ref="F116:F118"/>
    <mergeCell ref="G116:G118"/>
    <mergeCell ref="H116:H118"/>
    <mergeCell ref="I116:I118"/>
    <mergeCell ref="A119:A121"/>
    <mergeCell ref="B119:B121"/>
    <mergeCell ref="C119:C121"/>
    <mergeCell ref="F119:F121"/>
    <mergeCell ref="H119:H121"/>
    <mergeCell ref="I119:I121"/>
    <mergeCell ref="A122:A124"/>
    <mergeCell ref="B122:B124"/>
    <mergeCell ref="C122:C124"/>
    <mergeCell ref="F122:F124"/>
    <mergeCell ref="G122:G124"/>
    <mergeCell ref="H122:H124"/>
    <mergeCell ref="I122:I124"/>
    <mergeCell ref="A125:A127"/>
    <mergeCell ref="B125:B127"/>
    <mergeCell ref="C125:C127"/>
    <mergeCell ref="F125:F127"/>
    <mergeCell ref="G125:G127"/>
    <mergeCell ref="H125:H127"/>
    <mergeCell ref="I125:I127"/>
    <mergeCell ref="A128:A130"/>
    <mergeCell ref="B128:B130"/>
    <mergeCell ref="C128:C130"/>
    <mergeCell ref="F128:F130"/>
    <mergeCell ref="G128:G130"/>
    <mergeCell ref="H128:H130"/>
    <mergeCell ref="I128:I130"/>
    <mergeCell ref="A131:A133"/>
    <mergeCell ref="B131:B133"/>
    <mergeCell ref="C131:C133"/>
    <mergeCell ref="F131:F133"/>
    <mergeCell ref="G131:G133"/>
    <mergeCell ref="H131:H133"/>
    <mergeCell ref="I131:I133"/>
    <mergeCell ref="A134:A136"/>
    <mergeCell ref="B134:B136"/>
    <mergeCell ref="C134:C136"/>
    <mergeCell ref="F134:F136"/>
    <mergeCell ref="G134:G136"/>
    <mergeCell ref="H134:H136"/>
    <mergeCell ref="I134:I136"/>
    <mergeCell ref="A137:A139"/>
    <mergeCell ref="B137:B139"/>
    <mergeCell ref="C137:C139"/>
    <mergeCell ref="F137:F139"/>
    <mergeCell ref="G137:G139"/>
    <mergeCell ref="H137:H139"/>
    <mergeCell ref="I137:I139"/>
    <mergeCell ref="A140:A142"/>
    <mergeCell ref="B140:B142"/>
    <mergeCell ref="C140:C142"/>
    <mergeCell ref="F140:F142"/>
    <mergeCell ref="G140:G142"/>
    <mergeCell ref="H140:H142"/>
    <mergeCell ref="I140:I142"/>
    <mergeCell ref="A143:A145"/>
    <mergeCell ref="B143:B145"/>
    <mergeCell ref="C143:C145"/>
    <mergeCell ref="H143:H145"/>
    <mergeCell ref="I143:I145"/>
    <mergeCell ref="A146:A148"/>
    <mergeCell ref="B146:B148"/>
    <mergeCell ref="C146:C148"/>
    <mergeCell ref="F146:F148"/>
    <mergeCell ref="G146:G148"/>
    <mergeCell ref="H146:H148"/>
    <mergeCell ref="I146:I148"/>
    <mergeCell ref="A149:A151"/>
    <mergeCell ref="B149:B151"/>
    <mergeCell ref="C149:C151"/>
    <mergeCell ref="F149:F151"/>
    <mergeCell ref="G149:G151"/>
    <mergeCell ref="H149:H151"/>
    <mergeCell ref="I149:I151"/>
    <mergeCell ref="A152:A154"/>
    <mergeCell ref="B152:B154"/>
    <mergeCell ref="C152:C154"/>
    <mergeCell ref="F152:F154"/>
    <mergeCell ref="G152:G154"/>
    <mergeCell ref="H152:H154"/>
    <mergeCell ref="I152:I154"/>
    <mergeCell ref="A155:A157"/>
    <mergeCell ref="B155:B157"/>
    <mergeCell ref="C155:C157"/>
    <mergeCell ref="F155:F157"/>
    <mergeCell ref="G155:G157"/>
    <mergeCell ref="H155:H157"/>
    <mergeCell ref="I155:I157"/>
    <mergeCell ref="A158:A160"/>
    <mergeCell ref="B158:B160"/>
    <mergeCell ref="C158:C160"/>
    <mergeCell ref="F158:F160"/>
    <mergeCell ref="H158:H160"/>
    <mergeCell ref="I158:I160"/>
    <mergeCell ref="A161:A163"/>
    <mergeCell ref="B161:B163"/>
    <mergeCell ref="C161:C163"/>
    <mergeCell ref="F161:F163"/>
    <mergeCell ref="G161:G163"/>
    <mergeCell ref="H161:H163"/>
    <mergeCell ref="I161:I163"/>
    <mergeCell ref="A164:A166"/>
    <mergeCell ref="B164:B166"/>
    <mergeCell ref="C164:C166"/>
    <mergeCell ref="F164:F166"/>
    <mergeCell ref="H164:H166"/>
    <mergeCell ref="I164:I166"/>
    <mergeCell ref="A167:A169"/>
    <mergeCell ref="B167:B169"/>
    <mergeCell ref="C167:C169"/>
    <mergeCell ref="F167:F169"/>
    <mergeCell ref="G167:G169"/>
    <mergeCell ref="H167:H169"/>
    <mergeCell ref="I167:I169"/>
    <mergeCell ref="A170:A172"/>
    <mergeCell ref="B170:B172"/>
    <mergeCell ref="C170:C172"/>
    <mergeCell ref="F170:F172"/>
    <mergeCell ref="G170:G172"/>
    <mergeCell ref="H170:H172"/>
    <mergeCell ref="I170:I172"/>
    <mergeCell ref="A173:A175"/>
    <mergeCell ref="B173:B175"/>
    <mergeCell ref="C173:C175"/>
    <mergeCell ref="G173:G175"/>
    <mergeCell ref="I173:I175"/>
    <mergeCell ref="A176:A178"/>
    <mergeCell ref="B176:B178"/>
    <mergeCell ref="C176:C178"/>
    <mergeCell ref="F176:F178"/>
    <mergeCell ref="G176:G178"/>
    <mergeCell ref="H176:H178"/>
    <mergeCell ref="I176:I178"/>
    <mergeCell ref="A179:A181"/>
    <mergeCell ref="B179:B181"/>
    <mergeCell ref="C179:C181"/>
    <mergeCell ref="F179:F181"/>
    <mergeCell ref="H179:H181"/>
    <mergeCell ref="I179:I181"/>
    <mergeCell ref="A182:A184"/>
    <mergeCell ref="B182:B184"/>
    <mergeCell ref="C182:C184"/>
    <mergeCell ref="F182:F184"/>
    <mergeCell ref="G182:G184"/>
    <mergeCell ref="H182:H184"/>
    <mergeCell ref="I182:I184"/>
    <mergeCell ref="A185:A187"/>
    <mergeCell ref="B185:B187"/>
    <mergeCell ref="C185:C187"/>
    <mergeCell ref="F185:F187"/>
    <mergeCell ref="G185:G187"/>
    <mergeCell ref="H185:H187"/>
    <mergeCell ref="I185:I187"/>
    <mergeCell ref="A188:A190"/>
    <mergeCell ref="B188:B190"/>
    <mergeCell ref="C188:C190"/>
    <mergeCell ref="F188:F190"/>
    <mergeCell ref="G188:G190"/>
    <mergeCell ref="H188:H190"/>
    <mergeCell ref="I188:I190"/>
    <mergeCell ref="A191:A193"/>
    <mergeCell ref="B191:B193"/>
    <mergeCell ref="C191:C193"/>
    <mergeCell ref="F191:F193"/>
    <mergeCell ref="G191:G193"/>
    <mergeCell ref="H191:H193"/>
    <mergeCell ref="I191:I193"/>
    <mergeCell ref="A194:A196"/>
    <mergeCell ref="B194:B196"/>
    <mergeCell ref="C194:C196"/>
    <mergeCell ref="F194:F196"/>
    <mergeCell ref="G194:G196"/>
    <mergeCell ref="H194:H196"/>
    <mergeCell ref="I194:I196"/>
    <mergeCell ref="A197:A199"/>
    <mergeCell ref="B197:B199"/>
    <mergeCell ref="C197:C199"/>
    <mergeCell ref="F197:F199"/>
    <mergeCell ref="G197:G199"/>
    <mergeCell ref="H197:H199"/>
    <mergeCell ref="I197:I199"/>
    <mergeCell ref="A200:A202"/>
    <mergeCell ref="B200:B202"/>
    <mergeCell ref="C200:C202"/>
    <mergeCell ref="F200:F202"/>
    <mergeCell ref="G200:G202"/>
    <mergeCell ref="H200:H202"/>
    <mergeCell ref="I200:I202"/>
    <mergeCell ref="A203:A205"/>
    <mergeCell ref="B203:B205"/>
    <mergeCell ref="C203:C205"/>
    <mergeCell ref="F203:F205"/>
    <mergeCell ref="G203:G205"/>
    <mergeCell ref="H203:H205"/>
    <mergeCell ref="I203:I205"/>
    <mergeCell ref="A206:A208"/>
    <mergeCell ref="B206:B208"/>
    <mergeCell ref="C206:C208"/>
    <mergeCell ref="F206:F208"/>
    <mergeCell ref="G206:G208"/>
    <mergeCell ref="H206:H208"/>
    <mergeCell ref="I206:I208"/>
    <mergeCell ref="A209:A211"/>
    <mergeCell ref="B209:B211"/>
    <mergeCell ref="C209:C211"/>
    <mergeCell ref="F209:F211"/>
    <mergeCell ref="G209:G211"/>
    <mergeCell ref="H209:H211"/>
    <mergeCell ref="I209:I211"/>
    <mergeCell ref="A212:A214"/>
    <mergeCell ref="B212:B214"/>
    <mergeCell ref="C212:C214"/>
    <mergeCell ref="H212:H214"/>
    <mergeCell ref="I212:I214"/>
    <mergeCell ref="A215:A217"/>
    <mergeCell ref="B215:B217"/>
    <mergeCell ref="C215:C217"/>
    <mergeCell ref="H215:H217"/>
    <mergeCell ref="I215:I217"/>
    <mergeCell ref="A218:A220"/>
    <mergeCell ref="B218:B220"/>
    <mergeCell ref="C218:C220"/>
    <mergeCell ref="F218:F220"/>
    <mergeCell ref="G218:G220"/>
    <mergeCell ref="H218:H220"/>
    <mergeCell ref="I218:I220"/>
    <mergeCell ref="A221:A223"/>
    <mergeCell ref="B221:B223"/>
    <mergeCell ref="C221:C223"/>
    <mergeCell ref="F221:F223"/>
    <mergeCell ref="G221:G223"/>
    <mergeCell ref="H221:H223"/>
    <mergeCell ref="I221:I223"/>
    <mergeCell ref="A224:A226"/>
    <mergeCell ref="B224:B226"/>
    <mergeCell ref="C224:C226"/>
    <mergeCell ref="F224:F226"/>
    <mergeCell ref="G224:G226"/>
    <mergeCell ref="H224:H226"/>
    <mergeCell ref="I224:I226"/>
    <mergeCell ref="A227:A229"/>
    <mergeCell ref="B227:B229"/>
    <mergeCell ref="C227:C229"/>
    <mergeCell ref="F227:F229"/>
    <mergeCell ref="G227:G229"/>
    <mergeCell ref="H227:H229"/>
    <mergeCell ref="I227:I229"/>
    <mergeCell ref="A230:A232"/>
    <mergeCell ref="B230:B232"/>
    <mergeCell ref="C230:C232"/>
    <mergeCell ref="F230:F232"/>
    <mergeCell ref="G230:G232"/>
    <mergeCell ref="H230:H232"/>
    <mergeCell ref="I230:I232"/>
    <mergeCell ref="A233:A235"/>
    <mergeCell ref="B233:B235"/>
    <mergeCell ref="C233:C235"/>
    <mergeCell ref="F233:F235"/>
    <mergeCell ref="G233:G235"/>
    <mergeCell ref="H233:H235"/>
    <mergeCell ref="I233:I235"/>
    <mergeCell ref="A236:A238"/>
    <mergeCell ref="B236:B238"/>
    <mergeCell ref="C236:C238"/>
    <mergeCell ref="F236:F238"/>
    <mergeCell ref="G236:G238"/>
    <mergeCell ref="H236:H238"/>
    <mergeCell ref="I236:I238"/>
    <mergeCell ref="A239:A241"/>
    <mergeCell ref="B239:B241"/>
    <mergeCell ref="C239:C241"/>
    <mergeCell ref="F239:F241"/>
    <mergeCell ref="G239:G241"/>
    <mergeCell ref="H239:H241"/>
    <mergeCell ref="I239:I241"/>
    <mergeCell ref="A242:A244"/>
    <mergeCell ref="B242:B244"/>
    <mergeCell ref="C242:C244"/>
    <mergeCell ref="I242:I244"/>
    <mergeCell ref="A245:A247"/>
    <mergeCell ref="B245:B247"/>
    <mergeCell ref="C245:C247"/>
    <mergeCell ref="F245:F247"/>
    <mergeCell ref="G245:G247"/>
    <mergeCell ref="H245:H247"/>
    <mergeCell ref="I245:I247"/>
    <mergeCell ref="A248:A250"/>
    <mergeCell ref="B248:B250"/>
    <mergeCell ref="C248:C250"/>
    <mergeCell ref="F248:F250"/>
    <mergeCell ref="G248:G250"/>
    <mergeCell ref="H248:H250"/>
    <mergeCell ref="I248:I250"/>
    <mergeCell ref="A251:A253"/>
    <mergeCell ref="B251:B253"/>
    <mergeCell ref="C251:C253"/>
    <mergeCell ref="F251:F253"/>
    <mergeCell ref="G251:G253"/>
    <mergeCell ref="H251:H253"/>
    <mergeCell ref="I251:I253"/>
    <mergeCell ref="A254:A256"/>
    <mergeCell ref="B254:B256"/>
    <mergeCell ref="C254:C256"/>
    <mergeCell ref="F254:F256"/>
    <mergeCell ref="G254:G256"/>
    <mergeCell ref="H254:H256"/>
    <mergeCell ref="I254:I256"/>
    <mergeCell ref="A257:A259"/>
    <mergeCell ref="B257:B259"/>
    <mergeCell ref="C257:C259"/>
    <mergeCell ref="F257:F259"/>
    <mergeCell ref="G257:G259"/>
    <mergeCell ref="H257:H259"/>
    <mergeCell ref="I257:I259"/>
    <mergeCell ref="A260:A262"/>
    <mergeCell ref="B260:B262"/>
    <mergeCell ref="C260:C262"/>
    <mergeCell ref="F260:F262"/>
    <mergeCell ref="G260:G262"/>
    <mergeCell ref="H260:H262"/>
    <mergeCell ref="I260:I262"/>
    <mergeCell ref="A263:A265"/>
    <mergeCell ref="B263:B265"/>
    <mergeCell ref="C263:C265"/>
    <mergeCell ref="F263:F265"/>
    <mergeCell ref="G263:G265"/>
    <mergeCell ref="H263:H265"/>
    <mergeCell ref="I263:I265"/>
    <mergeCell ref="A266:A268"/>
    <mergeCell ref="B266:B268"/>
    <mergeCell ref="C266:C268"/>
    <mergeCell ref="F266:F268"/>
    <mergeCell ref="G266:G268"/>
    <mergeCell ref="H266:H268"/>
    <mergeCell ref="I266:I268"/>
    <mergeCell ref="A269:A271"/>
    <mergeCell ref="B269:B271"/>
    <mergeCell ref="C269:C271"/>
    <mergeCell ref="H269:H271"/>
    <mergeCell ref="I269:I271"/>
    <mergeCell ref="A272:A274"/>
    <mergeCell ref="B272:B274"/>
    <mergeCell ref="C272:C274"/>
    <mergeCell ref="F272:F274"/>
    <mergeCell ref="G272:G274"/>
    <mergeCell ref="H272:H274"/>
    <mergeCell ref="I272:I274"/>
    <mergeCell ref="A275:A277"/>
    <mergeCell ref="B275:B277"/>
    <mergeCell ref="C275:C277"/>
    <mergeCell ref="F275:F277"/>
    <mergeCell ref="G275:G277"/>
    <mergeCell ref="H275:H277"/>
    <mergeCell ref="I275:I277"/>
    <mergeCell ref="A278:A280"/>
    <mergeCell ref="B278:B280"/>
    <mergeCell ref="C278:C280"/>
    <mergeCell ref="F278:F280"/>
    <mergeCell ref="G278:G280"/>
    <mergeCell ref="H278:H280"/>
    <mergeCell ref="I278:I280"/>
    <mergeCell ref="A281:A283"/>
    <mergeCell ref="B281:B283"/>
    <mergeCell ref="C281:C283"/>
    <mergeCell ref="F281:F283"/>
    <mergeCell ref="G281:G283"/>
    <mergeCell ref="H281:H283"/>
    <mergeCell ref="I281:I283"/>
    <mergeCell ref="A284:A286"/>
    <mergeCell ref="B284:B286"/>
    <mergeCell ref="C284:C286"/>
    <mergeCell ref="F284:F286"/>
    <mergeCell ref="G284:G286"/>
    <mergeCell ref="I284:I286"/>
    <mergeCell ref="A287:A289"/>
    <mergeCell ref="B287:B289"/>
    <mergeCell ref="C287:C289"/>
    <mergeCell ref="F287:F289"/>
    <mergeCell ref="G287:G289"/>
    <mergeCell ref="H287:H289"/>
    <mergeCell ref="I287:I289"/>
    <mergeCell ref="A290:A292"/>
    <mergeCell ref="B290:B292"/>
    <mergeCell ref="C290:C292"/>
    <mergeCell ref="F290:F292"/>
    <mergeCell ref="G290:G292"/>
    <mergeCell ref="H290:H292"/>
    <mergeCell ref="I290:I292"/>
    <mergeCell ref="A293:A295"/>
    <mergeCell ref="B293:B295"/>
    <mergeCell ref="C293:C295"/>
    <mergeCell ref="F293:F295"/>
    <mergeCell ref="G293:G295"/>
    <mergeCell ref="H293:H295"/>
    <mergeCell ref="I293:I295"/>
    <mergeCell ref="A296:A298"/>
    <mergeCell ref="B296:B298"/>
    <mergeCell ref="C296:C298"/>
    <mergeCell ref="F296:F298"/>
    <mergeCell ref="H296:H298"/>
    <mergeCell ref="I296:I298"/>
    <mergeCell ref="A299:A301"/>
    <mergeCell ref="B299:B301"/>
    <mergeCell ref="C299:C301"/>
    <mergeCell ref="F299:F301"/>
    <mergeCell ref="H299:H301"/>
    <mergeCell ref="I299:I301"/>
    <mergeCell ref="A302:A304"/>
    <mergeCell ref="B302:B304"/>
    <mergeCell ref="C302:C304"/>
    <mergeCell ref="F302:F304"/>
    <mergeCell ref="G302:G304"/>
    <mergeCell ref="H302:H304"/>
    <mergeCell ref="I302:I304"/>
    <mergeCell ref="A305:A307"/>
    <mergeCell ref="B305:B307"/>
    <mergeCell ref="C305:C307"/>
    <mergeCell ref="F305:F307"/>
    <mergeCell ref="G305:G307"/>
    <mergeCell ref="H305:H307"/>
    <mergeCell ref="I305:I307"/>
    <mergeCell ref="A308:A310"/>
    <mergeCell ref="B308:B310"/>
    <mergeCell ref="C308:C310"/>
    <mergeCell ref="H308:H310"/>
    <mergeCell ref="I308:I310"/>
    <mergeCell ref="A311:A313"/>
    <mergeCell ref="B311:B313"/>
    <mergeCell ref="C311:C313"/>
    <mergeCell ref="F311:F313"/>
    <mergeCell ref="G311:G313"/>
    <mergeCell ref="H311:H313"/>
    <mergeCell ref="I311:I313"/>
    <mergeCell ref="A314:A316"/>
    <mergeCell ref="B314:B316"/>
    <mergeCell ref="C314:C316"/>
    <mergeCell ref="F314:F316"/>
    <mergeCell ref="G314:G316"/>
    <mergeCell ref="H314:H316"/>
    <mergeCell ref="I314:I316"/>
    <mergeCell ref="A317:A319"/>
    <mergeCell ref="B317:B319"/>
    <mergeCell ref="C317:C319"/>
    <mergeCell ref="F317:F319"/>
    <mergeCell ref="G317:G319"/>
    <mergeCell ref="H317:H319"/>
    <mergeCell ref="I317:I319"/>
    <mergeCell ref="A320:A322"/>
    <mergeCell ref="B320:B322"/>
    <mergeCell ref="C320:C322"/>
    <mergeCell ref="G320:G322"/>
    <mergeCell ref="I320:I322"/>
    <mergeCell ref="A323:A325"/>
    <mergeCell ref="B323:B325"/>
    <mergeCell ref="C323:C325"/>
    <mergeCell ref="F323:F325"/>
    <mergeCell ref="I323:I325"/>
    <mergeCell ref="A326:A328"/>
    <mergeCell ref="B326:B328"/>
    <mergeCell ref="C326:C328"/>
    <mergeCell ref="F326:F328"/>
    <mergeCell ref="H326:H328"/>
    <mergeCell ref="I326:I328"/>
    <mergeCell ref="A329:A331"/>
    <mergeCell ref="B329:B331"/>
    <mergeCell ref="C329:C331"/>
    <mergeCell ref="F329:F331"/>
    <mergeCell ref="G329:G331"/>
    <mergeCell ref="H329:H331"/>
    <mergeCell ref="I329:I331"/>
    <mergeCell ref="A332:A334"/>
    <mergeCell ref="B332:B334"/>
    <mergeCell ref="C332:C334"/>
    <mergeCell ref="F332:F334"/>
    <mergeCell ref="G332:G334"/>
    <mergeCell ref="H332:H334"/>
    <mergeCell ref="I332:I334"/>
    <mergeCell ref="A335:A337"/>
    <mergeCell ref="B335:B337"/>
    <mergeCell ref="C335:C337"/>
    <mergeCell ref="F335:F337"/>
    <mergeCell ref="G335:G337"/>
    <mergeCell ref="H335:H337"/>
    <mergeCell ref="I335:I337"/>
    <mergeCell ref="A338:A340"/>
    <mergeCell ref="B338:B340"/>
    <mergeCell ref="C338:C340"/>
    <mergeCell ref="F338:F340"/>
    <mergeCell ref="H338:H340"/>
    <mergeCell ref="I338:I340"/>
    <mergeCell ref="A341:A343"/>
    <mergeCell ref="B341:B343"/>
    <mergeCell ref="C341:C343"/>
    <mergeCell ref="G341:G343"/>
    <mergeCell ref="H341:H343"/>
    <mergeCell ref="I341:I343"/>
    <mergeCell ref="A344:A346"/>
    <mergeCell ref="B344:B346"/>
    <mergeCell ref="C344:C346"/>
    <mergeCell ref="F344:F346"/>
    <mergeCell ref="H344:H346"/>
    <mergeCell ref="I344:I346"/>
    <mergeCell ref="A347:A349"/>
    <mergeCell ref="B347:B349"/>
    <mergeCell ref="C347:C349"/>
    <mergeCell ref="F347:F349"/>
    <mergeCell ref="G347:G349"/>
    <mergeCell ref="H347:H349"/>
    <mergeCell ref="I347:I349"/>
    <mergeCell ref="A350:A352"/>
    <mergeCell ref="B350:B352"/>
    <mergeCell ref="C350:C352"/>
    <mergeCell ref="H350:H352"/>
    <mergeCell ref="I350:I352"/>
    <mergeCell ref="A353:A355"/>
    <mergeCell ref="B353:B355"/>
    <mergeCell ref="C353:C355"/>
    <mergeCell ref="F353:F355"/>
    <mergeCell ref="G353:G355"/>
    <mergeCell ref="H353:H355"/>
    <mergeCell ref="I353:I355"/>
    <mergeCell ref="A356:A358"/>
    <mergeCell ref="B356:B358"/>
    <mergeCell ref="C356:C358"/>
    <mergeCell ref="F356:F358"/>
    <mergeCell ref="G356:G358"/>
    <mergeCell ref="H356:H358"/>
    <mergeCell ref="I356:I358"/>
    <mergeCell ref="A359:A361"/>
    <mergeCell ref="B359:B361"/>
    <mergeCell ref="C359:C361"/>
    <mergeCell ref="F359:F361"/>
    <mergeCell ref="G359:G361"/>
    <mergeCell ref="H359:H361"/>
    <mergeCell ref="I359:I361"/>
    <mergeCell ref="A362:A364"/>
    <mergeCell ref="B362:B364"/>
    <mergeCell ref="C362:C364"/>
    <mergeCell ref="F362:F364"/>
    <mergeCell ref="G362:G364"/>
    <mergeCell ref="H362:H364"/>
    <mergeCell ref="I362:I364"/>
    <mergeCell ref="A365:A367"/>
    <mergeCell ref="B365:B367"/>
    <mergeCell ref="C365:C367"/>
    <mergeCell ref="F365:F367"/>
    <mergeCell ref="G365:G367"/>
    <mergeCell ref="H365:H367"/>
    <mergeCell ref="I365:I367"/>
    <mergeCell ref="A368:A370"/>
    <mergeCell ref="B368:B370"/>
    <mergeCell ref="C368:C370"/>
    <mergeCell ref="F368:F370"/>
    <mergeCell ref="G368:G370"/>
    <mergeCell ref="H368:H370"/>
    <mergeCell ref="I368:I370"/>
    <mergeCell ref="A371:A373"/>
    <mergeCell ref="B371:B373"/>
    <mergeCell ref="C371:C373"/>
    <mergeCell ref="H371:H373"/>
    <mergeCell ref="I371:I373"/>
    <mergeCell ref="A374:A376"/>
    <mergeCell ref="B374:B376"/>
    <mergeCell ref="C374:C376"/>
    <mergeCell ref="F374:F376"/>
    <mergeCell ref="G374:G376"/>
    <mergeCell ref="H374:H376"/>
    <mergeCell ref="I374:I376"/>
    <mergeCell ref="A377:A379"/>
    <mergeCell ref="B377:B379"/>
    <mergeCell ref="C377:C379"/>
    <mergeCell ref="F377:F379"/>
    <mergeCell ref="G377:G379"/>
    <mergeCell ref="H377:H379"/>
    <mergeCell ref="I377:I379"/>
    <mergeCell ref="A380:A382"/>
    <mergeCell ref="B380:B382"/>
    <mergeCell ref="C380:C382"/>
    <mergeCell ref="F380:F382"/>
    <mergeCell ref="G380:G382"/>
    <mergeCell ref="H380:H382"/>
    <mergeCell ref="I380:I382"/>
    <mergeCell ref="A383:A385"/>
    <mergeCell ref="B383:B385"/>
    <mergeCell ref="C383:C385"/>
    <mergeCell ref="F383:F385"/>
    <mergeCell ref="G383:G385"/>
    <mergeCell ref="H383:H385"/>
    <mergeCell ref="I383:I385"/>
    <mergeCell ref="A386:A388"/>
    <mergeCell ref="B386:B388"/>
    <mergeCell ref="C386:C388"/>
    <mergeCell ref="F386:F388"/>
    <mergeCell ref="G386:G388"/>
    <mergeCell ref="H386:H388"/>
    <mergeCell ref="I386:I388"/>
    <mergeCell ref="A389:A391"/>
    <mergeCell ref="B389:B391"/>
    <mergeCell ref="C389:C391"/>
    <mergeCell ref="F389:F391"/>
    <mergeCell ref="H389:H391"/>
    <mergeCell ref="I389:I391"/>
    <mergeCell ref="A392:A394"/>
    <mergeCell ref="B392:B394"/>
    <mergeCell ref="C392:C394"/>
    <mergeCell ref="I392:I394"/>
    <mergeCell ref="A395:A397"/>
    <mergeCell ref="B395:B397"/>
    <mergeCell ref="C395:C397"/>
    <mergeCell ref="F395:F397"/>
    <mergeCell ref="G395:G397"/>
    <mergeCell ref="I395:I397"/>
    <mergeCell ref="A398:A400"/>
    <mergeCell ref="B398:B400"/>
    <mergeCell ref="C398:C400"/>
    <mergeCell ref="F398:F400"/>
    <mergeCell ref="G398:G400"/>
    <mergeCell ref="H398:H400"/>
    <mergeCell ref="I398:I400"/>
    <mergeCell ref="A401:A403"/>
    <mergeCell ref="B401:B403"/>
    <mergeCell ref="C401:C403"/>
    <mergeCell ref="F401:F403"/>
    <mergeCell ref="H401:H403"/>
    <mergeCell ref="I401:I403"/>
    <mergeCell ref="A404:A406"/>
    <mergeCell ref="B404:B406"/>
    <mergeCell ref="C404:C406"/>
    <mergeCell ref="F404:F406"/>
    <mergeCell ref="G404:G406"/>
    <mergeCell ref="H404:H406"/>
    <mergeCell ref="I404:I406"/>
    <mergeCell ref="A407:A409"/>
    <mergeCell ref="B407:B409"/>
    <mergeCell ref="C407:C409"/>
    <mergeCell ref="F407:F409"/>
    <mergeCell ref="G407:G409"/>
    <mergeCell ref="H407:H409"/>
    <mergeCell ref="I407:I409"/>
    <mergeCell ref="A410:A412"/>
    <mergeCell ref="B410:B412"/>
    <mergeCell ref="C410:C412"/>
    <mergeCell ref="F410:F412"/>
    <mergeCell ref="H410:H412"/>
    <mergeCell ref="I410:I412"/>
    <mergeCell ref="A413:A415"/>
    <mergeCell ref="B413:B415"/>
    <mergeCell ref="C413:C415"/>
    <mergeCell ref="F413:F415"/>
    <mergeCell ref="G413:G415"/>
    <mergeCell ref="H413:H415"/>
    <mergeCell ref="I413:I415"/>
    <mergeCell ref="A416:A417"/>
    <mergeCell ref="B416:B417"/>
    <mergeCell ref="C416:C417"/>
    <mergeCell ref="F416:F417"/>
    <mergeCell ref="H416:H417"/>
    <mergeCell ref="I416:I417"/>
    <mergeCell ref="A419:A421"/>
    <mergeCell ref="B419:B421"/>
    <mergeCell ref="C419:C421"/>
    <mergeCell ref="F419:F421"/>
    <mergeCell ref="G419:G421"/>
    <mergeCell ref="H419:H421"/>
    <mergeCell ref="I419:I421"/>
    <mergeCell ref="A422:A424"/>
    <mergeCell ref="B422:B424"/>
    <mergeCell ref="C422:C424"/>
    <mergeCell ref="F422:F424"/>
    <mergeCell ref="H422:H424"/>
    <mergeCell ref="I422:I424"/>
    <mergeCell ref="A425:A427"/>
    <mergeCell ref="B425:B427"/>
    <mergeCell ref="C425:C427"/>
    <mergeCell ref="F425:F427"/>
    <mergeCell ref="H425:H427"/>
    <mergeCell ref="I425:I427"/>
    <mergeCell ref="A428:A430"/>
    <mergeCell ref="B428:B430"/>
    <mergeCell ref="C428:C430"/>
    <mergeCell ref="F428:F430"/>
    <mergeCell ref="G428:G430"/>
    <mergeCell ref="H428:H430"/>
    <mergeCell ref="I428:I430"/>
    <mergeCell ref="A431:A433"/>
    <mergeCell ref="B431:B433"/>
    <mergeCell ref="C431:C433"/>
    <mergeCell ref="F431:F433"/>
    <mergeCell ref="G431:G433"/>
    <mergeCell ref="H431:H433"/>
    <mergeCell ref="I431:I433"/>
    <mergeCell ref="A434:A436"/>
    <mergeCell ref="B434:B436"/>
    <mergeCell ref="C434:C436"/>
    <mergeCell ref="F434:F436"/>
    <mergeCell ref="H434:H436"/>
    <mergeCell ref="I434:I436"/>
    <mergeCell ref="A437:A439"/>
    <mergeCell ref="B437:B439"/>
    <mergeCell ref="C437:C439"/>
    <mergeCell ref="F437:F439"/>
    <mergeCell ref="G437:G439"/>
    <mergeCell ref="H437:H439"/>
    <mergeCell ref="I437:I439"/>
    <mergeCell ref="A440:A442"/>
    <mergeCell ref="B440:B442"/>
    <mergeCell ref="C440:C442"/>
    <mergeCell ref="F440:F442"/>
    <mergeCell ref="G440:G442"/>
    <mergeCell ref="H440:H442"/>
    <mergeCell ref="I440:I442"/>
    <mergeCell ref="A443:A445"/>
    <mergeCell ref="B443:B445"/>
    <mergeCell ref="C443:C445"/>
    <mergeCell ref="F443:F445"/>
    <mergeCell ref="G443:G445"/>
    <mergeCell ref="H443:H445"/>
    <mergeCell ref="I443:I445"/>
    <mergeCell ref="A446:A448"/>
    <mergeCell ref="B446:B448"/>
    <mergeCell ref="C446:C448"/>
    <mergeCell ref="F446:F448"/>
    <mergeCell ref="H446:H448"/>
    <mergeCell ref="I446:I448"/>
    <mergeCell ref="A449:A451"/>
    <mergeCell ref="B449:B451"/>
    <mergeCell ref="C449:C451"/>
    <mergeCell ref="F449:F451"/>
    <mergeCell ref="G449:G451"/>
    <mergeCell ref="H449:H451"/>
    <mergeCell ref="I449:I451"/>
    <mergeCell ref="A452:A454"/>
    <mergeCell ref="B452:B454"/>
    <mergeCell ref="C452:C454"/>
    <mergeCell ref="F452:F454"/>
    <mergeCell ref="I452:I454"/>
    <mergeCell ref="A455:A457"/>
    <mergeCell ref="B455:B457"/>
    <mergeCell ref="C455:C457"/>
    <mergeCell ref="F455:F457"/>
    <mergeCell ref="G455:G457"/>
    <mergeCell ref="H455:H457"/>
    <mergeCell ref="I455:I457"/>
    <mergeCell ref="A458:A460"/>
    <mergeCell ref="B458:B460"/>
    <mergeCell ref="C458:C460"/>
    <mergeCell ref="F458:F460"/>
    <mergeCell ref="G458:G460"/>
    <mergeCell ref="H458:H460"/>
    <mergeCell ref="I458:I460"/>
    <mergeCell ref="A461:A463"/>
    <mergeCell ref="B461:B463"/>
    <mergeCell ref="C461:C463"/>
    <mergeCell ref="F461:F463"/>
    <mergeCell ref="H461:H463"/>
    <mergeCell ref="I461:I463"/>
    <mergeCell ref="A464:A466"/>
    <mergeCell ref="B464:B466"/>
    <mergeCell ref="C464:C466"/>
    <mergeCell ref="F464:F466"/>
    <mergeCell ref="G464:G466"/>
    <mergeCell ref="H464:H466"/>
    <mergeCell ref="I464:I466"/>
    <mergeCell ref="A467:A469"/>
    <mergeCell ref="B467:B469"/>
    <mergeCell ref="C467:C469"/>
    <mergeCell ref="F467:F469"/>
    <mergeCell ref="G467:G469"/>
    <mergeCell ref="H467:H469"/>
    <mergeCell ref="I467:I469"/>
    <mergeCell ref="A470:A472"/>
    <mergeCell ref="B470:B472"/>
    <mergeCell ref="C470:C472"/>
    <mergeCell ref="H470:H472"/>
    <mergeCell ref="I470:I472"/>
    <mergeCell ref="A473:A475"/>
    <mergeCell ref="B473:B475"/>
    <mergeCell ref="C473:C475"/>
    <mergeCell ref="F473:F475"/>
    <mergeCell ref="G473:G475"/>
    <mergeCell ref="H473:H475"/>
    <mergeCell ref="I473:I475"/>
    <mergeCell ref="A476:A478"/>
    <mergeCell ref="B476:B478"/>
    <mergeCell ref="C476:C478"/>
    <mergeCell ref="F476:F478"/>
    <mergeCell ref="G476:G478"/>
    <mergeCell ref="H476:H478"/>
    <mergeCell ref="I476:I478"/>
    <mergeCell ref="A479:A481"/>
    <mergeCell ref="B479:B481"/>
    <mergeCell ref="C479:C481"/>
    <mergeCell ref="F479:F481"/>
    <mergeCell ref="G479:G481"/>
    <mergeCell ref="H479:H481"/>
    <mergeCell ref="I479:I481"/>
    <mergeCell ref="A482:A484"/>
    <mergeCell ref="B482:B484"/>
    <mergeCell ref="C482:C484"/>
    <mergeCell ref="G482:G484"/>
    <mergeCell ref="H482:H484"/>
    <mergeCell ref="I482:I484"/>
    <mergeCell ref="A485:A487"/>
    <mergeCell ref="B485:B487"/>
    <mergeCell ref="C485:C487"/>
    <mergeCell ref="F485:F487"/>
    <mergeCell ref="G485:G487"/>
    <mergeCell ref="H485:H487"/>
    <mergeCell ref="I485:I487"/>
    <mergeCell ref="A488:A490"/>
    <mergeCell ref="B488:B490"/>
    <mergeCell ref="C488:C490"/>
    <mergeCell ref="F488:F490"/>
    <mergeCell ref="G488:G490"/>
    <mergeCell ref="H488:H490"/>
    <mergeCell ref="I488:I490"/>
    <mergeCell ref="A491:A493"/>
    <mergeCell ref="B491:B493"/>
    <mergeCell ref="C491:C493"/>
    <mergeCell ref="F491:F493"/>
    <mergeCell ref="G491:G493"/>
    <mergeCell ref="H491:H493"/>
    <mergeCell ref="I491:I493"/>
    <mergeCell ref="A494:A496"/>
    <mergeCell ref="B494:B496"/>
    <mergeCell ref="C494:C496"/>
    <mergeCell ref="F494:F496"/>
    <mergeCell ref="G494:G496"/>
    <mergeCell ref="H494:H496"/>
    <mergeCell ref="I494:I496"/>
    <mergeCell ref="A497:A499"/>
    <mergeCell ref="B497:B499"/>
    <mergeCell ref="C497:C499"/>
    <mergeCell ref="F497:F499"/>
    <mergeCell ref="G497:G499"/>
    <mergeCell ref="H497:H499"/>
    <mergeCell ref="I497:I499"/>
    <mergeCell ref="A500:A502"/>
    <mergeCell ref="B500:B502"/>
    <mergeCell ref="C500:C502"/>
    <mergeCell ref="H500:H502"/>
    <mergeCell ref="I500:I502"/>
    <mergeCell ref="A503:A505"/>
    <mergeCell ref="B503:B505"/>
    <mergeCell ref="C503:C505"/>
    <mergeCell ref="F503:F505"/>
    <mergeCell ref="H503:H505"/>
    <mergeCell ref="I503:I505"/>
    <mergeCell ref="A506:A508"/>
    <mergeCell ref="B506:B508"/>
    <mergeCell ref="C506:C508"/>
    <mergeCell ref="F506:F508"/>
    <mergeCell ref="I506:I508"/>
    <mergeCell ref="A509:A511"/>
    <mergeCell ref="B509:B511"/>
    <mergeCell ref="C509:C511"/>
    <mergeCell ref="F509:F511"/>
    <mergeCell ref="G509:G511"/>
    <mergeCell ref="H509:H511"/>
    <mergeCell ref="I509:I511"/>
    <mergeCell ref="A512:A514"/>
    <mergeCell ref="B512:B514"/>
    <mergeCell ref="C512:C514"/>
    <mergeCell ref="F512:F514"/>
    <mergeCell ref="I512:I514"/>
    <mergeCell ref="A515:A517"/>
    <mergeCell ref="B515:B517"/>
    <mergeCell ref="C515:C517"/>
    <mergeCell ref="F515:F517"/>
    <mergeCell ref="H515:H517"/>
    <mergeCell ref="I515:I517"/>
    <mergeCell ref="A518:A520"/>
    <mergeCell ref="B518:B520"/>
    <mergeCell ref="C518:C520"/>
    <mergeCell ref="F518:F520"/>
    <mergeCell ref="G518:G520"/>
    <mergeCell ref="H518:H520"/>
    <mergeCell ref="I518:I520"/>
    <mergeCell ref="A521:A523"/>
    <mergeCell ref="B521:B523"/>
    <mergeCell ref="C521:C523"/>
    <mergeCell ref="F521:F523"/>
    <mergeCell ref="G521:G523"/>
    <mergeCell ref="H521:H523"/>
    <mergeCell ref="I521:I523"/>
    <mergeCell ref="A524:A526"/>
    <mergeCell ref="B524:B526"/>
    <mergeCell ref="C524:C526"/>
    <mergeCell ref="F524:F526"/>
    <mergeCell ref="G524:G526"/>
    <mergeCell ref="H524:H526"/>
    <mergeCell ref="I524:I526"/>
    <mergeCell ref="A527:A529"/>
    <mergeCell ref="B527:B529"/>
    <mergeCell ref="C527:C529"/>
    <mergeCell ref="F527:F529"/>
    <mergeCell ref="G527:G529"/>
    <mergeCell ref="H527:H529"/>
    <mergeCell ref="I527:I529"/>
    <mergeCell ref="A530:A532"/>
    <mergeCell ref="B530:B532"/>
    <mergeCell ref="C530:C532"/>
    <mergeCell ref="F530:F532"/>
    <mergeCell ref="G530:G532"/>
    <mergeCell ref="H530:H532"/>
    <mergeCell ref="I530:I532"/>
    <mergeCell ref="A533:A535"/>
    <mergeCell ref="B533:B535"/>
    <mergeCell ref="C533:C535"/>
    <mergeCell ref="H533:H535"/>
    <mergeCell ref="I533:I535"/>
    <mergeCell ref="A536:A538"/>
    <mergeCell ref="B536:B538"/>
    <mergeCell ref="C536:C538"/>
    <mergeCell ref="F536:F538"/>
    <mergeCell ref="G536:G538"/>
    <mergeCell ref="I536:I538"/>
    <mergeCell ref="A539:A541"/>
    <mergeCell ref="B539:B541"/>
    <mergeCell ref="C539:C541"/>
    <mergeCell ref="F539:F541"/>
    <mergeCell ref="G539:G541"/>
    <mergeCell ref="I539:I541"/>
    <mergeCell ref="A542:A544"/>
    <mergeCell ref="B542:B544"/>
    <mergeCell ref="C542:C544"/>
    <mergeCell ref="F542:F544"/>
    <mergeCell ref="G542:G544"/>
    <mergeCell ref="H542:H544"/>
    <mergeCell ref="I542:I544"/>
    <mergeCell ref="A545:A547"/>
    <mergeCell ref="B545:B547"/>
    <mergeCell ref="C545:C547"/>
    <mergeCell ref="F545:F547"/>
    <mergeCell ref="G545:G547"/>
    <mergeCell ref="H545:H547"/>
    <mergeCell ref="I545:I547"/>
    <mergeCell ref="A548:A550"/>
    <mergeCell ref="B548:B550"/>
    <mergeCell ref="C548:C550"/>
    <mergeCell ref="F548:F550"/>
    <mergeCell ref="H548:H550"/>
    <mergeCell ref="I548:I550"/>
    <mergeCell ref="A551:A553"/>
    <mergeCell ref="B551:B553"/>
    <mergeCell ref="C551:C553"/>
    <mergeCell ref="F551:F553"/>
    <mergeCell ref="I551:I553"/>
    <mergeCell ref="A554:A556"/>
    <mergeCell ref="B554:B556"/>
    <mergeCell ref="C554:C556"/>
    <mergeCell ref="F554:F556"/>
    <mergeCell ref="G554:G556"/>
    <mergeCell ref="H554:H556"/>
    <mergeCell ref="I554:I556"/>
    <mergeCell ref="A557:A559"/>
    <mergeCell ref="B557:B559"/>
    <mergeCell ref="C557:C559"/>
    <mergeCell ref="F557:F559"/>
    <mergeCell ref="G557:G559"/>
    <mergeCell ref="H557:H559"/>
    <mergeCell ref="I557:I559"/>
    <mergeCell ref="A560:A562"/>
    <mergeCell ref="B560:B562"/>
    <mergeCell ref="C560:C562"/>
    <mergeCell ref="H560:H562"/>
    <mergeCell ref="I560:I562"/>
    <mergeCell ref="A563:A565"/>
    <mergeCell ref="B563:B565"/>
    <mergeCell ref="C563:C565"/>
    <mergeCell ref="F563:F565"/>
    <mergeCell ref="G563:G565"/>
    <mergeCell ref="H563:H565"/>
    <mergeCell ref="I563:I565"/>
    <mergeCell ref="A566:A568"/>
    <mergeCell ref="B566:B568"/>
    <mergeCell ref="C566:C568"/>
    <mergeCell ref="F566:F568"/>
    <mergeCell ref="G566:G568"/>
    <mergeCell ref="H566:H568"/>
    <mergeCell ref="I566:I568"/>
    <mergeCell ref="A569:A571"/>
    <mergeCell ref="B569:B571"/>
    <mergeCell ref="C569:C571"/>
    <mergeCell ref="F569:F571"/>
    <mergeCell ref="G569:G571"/>
    <mergeCell ref="H569:H571"/>
    <mergeCell ref="I569:I571"/>
    <mergeCell ref="A572:A574"/>
    <mergeCell ref="B572:B574"/>
    <mergeCell ref="C572:C574"/>
    <mergeCell ref="I572:I574"/>
    <mergeCell ref="A575:A577"/>
    <mergeCell ref="B575:B577"/>
    <mergeCell ref="C575:C577"/>
    <mergeCell ref="F575:F577"/>
    <mergeCell ref="H575:H577"/>
    <mergeCell ref="I575:I577"/>
    <mergeCell ref="A578:A580"/>
    <mergeCell ref="B578:B580"/>
    <mergeCell ref="C578:C580"/>
    <mergeCell ref="F578:F580"/>
    <mergeCell ref="G578:G580"/>
    <mergeCell ref="H578:H580"/>
    <mergeCell ref="I578:I580"/>
    <mergeCell ref="A581:A583"/>
    <mergeCell ref="B581:B583"/>
    <mergeCell ref="C581:C583"/>
    <mergeCell ref="F581:F583"/>
    <mergeCell ref="G581:G583"/>
    <mergeCell ref="H581:H583"/>
    <mergeCell ref="I581:I583"/>
    <mergeCell ref="A584:A586"/>
    <mergeCell ref="B584:B586"/>
    <mergeCell ref="C584:C586"/>
    <mergeCell ref="F584:F586"/>
    <mergeCell ref="G584:G586"/>
    <mergeCell ref="H584:H586"/>
    <mergeCell ref="I584:I586"/>
    <mergeCell ref="A587:A589"/>
    <mergeCell ref="B587:B589"/>
    <mergeCell ref="C587:C589"/>
    <mergeCell ref="H587:H589"/>
    <mergeCell ref="I587:I589"/>
    <mergeCell ref="A590:A592"/>
    <mergeCell ref="B590:B592"/>
    <mergeCell ref="C590:C592"/>
    <mergeCell ref="F590:F592"/>
    <mergeCell ref="G590:G592"/>
    <mergeCell ref="H590:H592"/>
    <mergeCell ref="I590:I592"/>
    <mergeCell ref="A593:A595"/>
    <mergeCell ref="B593:B595"/>
    <mergeCell ref="C593:C595"/>
    <mergeCell ref="F593:F595"/>
    <mergeCell ref="G593:G595"/>
    <mergeCell ref="H593:H595"/>
    <mergeCell ref="I593:I595"/>
    <mergeCell ref="A596:A598"/>
    <mergeCell ref="B596:B598"/>
    <mergeCell ref="C596:C598"/>
    <mergeCell ref="F596:F598"/>
    <mergeCell ref="G596:G598"/>
    <mergeCell ref="H596:H598"/>
    <mergeCell ref="I596:I598"/>
    <mergeCell ref="A599:A601"/>
    <mergeCell ref="B599:B601"/>
    <mergeCell ref="C599:C601"/>
    <mergeCell ref="H599:H601"/>
    <mergeCell ref="I599:I601"/>
    <mergeCell ref="A602:A604"/>
    <mergeCell ref="B602:B604"/>
    <mergeCell ref="C602:C604"/>
    <mergeCell ref="F602:F604"/>
    <mergeCell ref="G602:G604"/>
    <mergeCell ref="H602:H604"/>
    <mergeCell ref="I602:I604"/>
    <mergeCell ref="A605:A607"/>
    <mergeCell ref="B605:B607"/>
    <mergeCell ref="C605:C607"/>
    <mergeCell ref="F605:F607"/>
    <mergeCell ref="G605:G607"/>
    <mergeCell ref="H605:H607"/>
    <mergeCell ref="I605:I607"/>
    <mergeCell ref="A608:A610"/>
    <mergeCell ref="B608:B610"/>
    <mergeCell ref="C608:C610"/>
    <mergeCell ref="F608:F610"/>
    <mergeCell ref="H608:H610"/>
    <mergeCell ref="I608:I610"/>
    <mergeCell ref="A611:A613"/>
    <mergeCell ref="B611:B613"/>
    <mergeCell ref="C611:C613"/>
    <mergeCell ref="F611:F613"/>
    <mergeCell ref="H611:H613"/>
    <mergeCell ref="I611:I613"/>
    <mergeCell ref="A614:A616"/>
    <mergeCell ref="B614:B616"/>
    <mergeCell ref="C614:C616"/>
    <mergeCell ref="F614:F616"/>
    <mergeCell ref="G614:G616"/>
    <mergeCell ref="H614:H616"/>
    <mergeCell ref="I614:I616"/>
    <mergeCell ref="A617:A619"/>
    <mergeCell ref="B617:B619"/>
    <mergeCell ref="C617:C619"/>
    <mergeCell ref="F617:F619"/>
    <mergeCell ref="G617:G619"/>
    <mergeCell ref="H617:H619"/>
    <mergeCell ref="I617:I619"/>
    <mergeCell ref="A620:A622"/>
    <mergeCell ref="B620:B622"/>
    <mergeCell ref="C620:C622"/>
    <mergeCell ref="F620:F622"/>
    <mergeCell ref="G620:G622"/>
    <mergeCell ref="H620:H622"/>
    <mergeCell ref="I620:I622"/>
    <mergeCell ref="A623:A625"/>
    <mergeCell ref="B623:B625"/>
    <mergeCell ref="C623:C625"/>
    <mergeCell ref="F623:F625"/>
    <mergeCell ref="H623:H625"/>
    <mergeCell ref="I623:I625"/>
    <mergeCell ref="A626:A628"/>
    <mergeCell ref="B626:B628"/>
    <mergeCell ref="C626:C628"/>
    <mergeCell ref="F626:F628"/>
    <mergeCell ref="G626:G628"/>
    <mergeCell ref="H626:H628"/>
    <mergeCell ref="I626:I628"/>
    <mergeCell ref="A638:A640"/>
    <mergeCell ref="B638:B640"/>
    <mergeCell ref="C638:C640"/>
    <mergeCell ref="F638:F640"/>
    <mergeCell ref="G638:G640"/>
    <mergeCell ref="H638:H640"/>
    <mergeCell ref="I638:I640"/>
    <mergeCell ref="A641:A643"/>
    <mergeCell ref="B641:B643"/>
    <mergeCell ref="C641:C643"/>
    <mergeCell ref="F641:F643"/>
    <mergeCell ref="G641:G643"/>
    <mergeCell ref="H641:H643"/>
    <mergeCell ref="I641:I643"/>
    <mergeCell ref="A629:A631"/>
    <mergeCell ref="B629:B631"/>
    <mergeCell ref="C629:C631"/>
    <mergeCell ref="F629:F631"/>
    <mergeCell ref="G629:G631"/>
    <mergeCell ref="H629:H631"/>
    <mergeCell ref="I629:I631"/>
    <mergeCell ref="A632:A634"/>
    <mergeCell ref="B632:B634"/>
    <mergeCell ref="C632:C634"/>
    <mergeCell ref="I632:I634"/>
    <mergeCell ref="A635:A637"/>
    <mergeCell ref="B635:B637"/>
    <mergeCell ref="C635:C637"/>
    <mergeCell ref="F635:F637"/>
    <mergeCell ref="G635:G637"/>
    <mergeCell ref="H635:H637"/>
    <mergeCell ref="I635:I637"/>
  </mergeCells>
  <conditionalFormatting sqref="K5:K643">
    <cfRule type="cellIs" dxfId="1" priority="2" operator="equal">
      <formula>"Present"</formula>
    </cfRule>
    <cfRule type="cellIs" dxfId="0" priority="3" operator="equal">
      <formula>"Absent"</formula>
    </cfRule>
  </conditionalFormatting>
  <dataValidations count="1">
    <dataValidation type="list" allowBlank="1" sqref="K5:K643" xr:uid="{00000000-0002-0000-0000-000000000000}">
      <formula1>"Present,Absent"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19"/>
  <sheetViews>
    <sheetView zoomScaleNormal="100" workbookViewId="0">
      <pane xSplit="3" ySplit="5" topLeftCell="F49" activePane="bottomRight" state="frozen"/>
      <selection pane="topRight" activeCell="D1" sqref="D1"/>
      <selection pane="bottomLeft" activeCell="A6" sqref="A6"/>
      <selection pane="bottomRight" activeCell="A19" sqref="A19:K219"/>
    </sheetView>
  </sheetViews>
  <sheetFormatPr defaultColWidth="8.6328125" defaultRowHeight="14.5" x14ac:dyDescent="0.35"/>
  <cols>
    <col min="1" max="1" width="7" customWidth="1"/>
    <col min="2" max="2" width="19" customWidth="1"/>
    <col min="3" max="3" width="22" customWidth="1"/>
    <col min="4" max="4" width="24" customWidth="1"/>
    <col min="5" max="5" width="28" customWidth="1"/>
    <col min="6" max="6" width="38" customWidth="1"/>
    <col min="7" max="7" width="13" customWidth="1"/>
    <col min="8" max="8" width="10" customWidth="1"/>
    <col min="9" max="9" width="14" customWidth="1"/>
    <col min="10" max="10" width="9" customWidth="1"/>
    <col min="11" max="11" width="10" customWidth="1"/>
    <col min="12" max="12" width="13" customWidth="1"/>
    <col min="13" max="13" width="15" customWidth="1"/>
    <col min="14" max="15" width="13" customWidth="1"/>
    <col min="16" max="16" width="9" customWidth="1"/>
    <col min="17" max="17" width="12" customWidth="1"/>
    <col min="18" max="18" width="10" customWidth="1"/>
    <col min="19" max="19" width="28" customWidth="1"/>
  </cols>
  <sheetData>
    <row r="1" spans="1:19" ht="18" x14ac:dyDescent="0.4">
      <c r="A1" s="5" t="s">
        <v>1766</v>
      </c>
    </row>
    <row r="2" spans="1:19" x14ac:dyDescent="0.35">
      <c r="A2" s="6" t="s">
        <v>1767</v>
      </c>
    </row>
    <row r="4" spans="1:19" x14ac:dyDescent="0.35">
      <c r="K4" s="32" t="s">
        <v>1768</v>
      </c>
      <c r="L4" s="33">
        <v>10</v>
      </c>
      <c r="M4" s="33">
        <v>10</v>
      </c>
      <c r="N4" s="33">
        <v>10</v>
      </c>
      <c r="O4" s="33">
        <v>10</v>
      </c>
      <c r="P4" s="34">
        <f>SUM(L4:O4)</f>
        <v>40</v>
      </c>
    </row>
    <row r="5" spans="1:19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7" t="s">
        <v>1771</v>
      </c>
      <c r="K5" s="7" t="s">
        <v>1772</v>
      </c>
      <c r="L5" s="7" t="s">
        <v>1773</v>
      </c>
      <c r="M5" s="7" t="s">
        <v>1774</v>
      </c>
      <c r="N5" s="7" t="s">
        <v>1775</v>
      </c>
      <c r="O5" s="7" t="s">
        <v>1776</v>
      </c>
      <c r="P5" s="7" t="s">
        <v>1777</v>
      </c>
      <c r="Q5" s="7" t="s">
        <v>1778</v>
      </c>
      <c r="R5" s="7" t="s">
        <v>1779</v>
      </c>
      <c r="S5" s="7" t="s">
        <v>1780</v>
      </c>
    </row>
    <row r="6" spans="1:19" ht="44.25" customHeight="1" x14ac:dyDescent="0.35">
      <c r="A6" s="12">
        <v>1</v>
      </c>
      <c r="B6" s="12" t="s">
        <v>13</v>
      </c>
      <c r="C6" s="11" t="s">
        <v>14</v>
      </c>
      <c r="D6" s="11" t="s">
        <v>20</v>
      </c>
      <c r="E6" s="11" t="s">
        <v>1781</v>
      </c>
      <c r="F6" s="11" t="s">
        <v>17</v>
      </c>
      <c r="G6" s="11" t="s">
        <v>18</v>
      </c>
      <c r="H6" s="11" t="s">
        <v>19</v>
      </c>
      <c r="I6" s="35" t="s">
        <v>1782</v>
      </c>
      <c r="J6" s="12">
        <f>COUNTA('Team Wise'!D5:D7)</f>
        <v>3</v>
      </c>
      <c r="K6" s="12">
        <f>COUNTIF('Team Wise'!K5:K7,"Present")</f>
        <v>0</v>
      </c>
      <c r="L6" s="14"/>
      <c r="M6" s="14"/>
      <c r="N6" s="14"/>
      <c r="O6" s="14"/>
      <c r="P6" s="12" t="str">
        <f t="shared" ref="P6:P69" si="0">IF(COUNT(L6:O6)=0,"",SUM(L6:O6))</f>
        <v/>
      </c>
      <c r="Q6" s="36" t="str">
        <f t="shared" ref="Q6:Q69" si="1">IF(P6="","",P6/$P$4)</f>
        <v/>
      </c>
      <c r="R6" s="12" t="str">
        <f t="shared" ref="R6:R69" si="2">IF(P6="","",COUNTIFS($D$6:$D$219,D6,$P$6:$P$219,"&gt;"&amp;P6)+1)</f>
        <v/>
      </c>
      <c r="S6" s="37"/>
    </row>
    <row r="7" spans="1:19" ht="44.25" customHeight="1" x14ac:dyDescent="0.35">
      <c r="A7" s="22">
        <v>2</v>
      </c>
      <c r="B7" s="22" t="s">
        <v>27</v>
      </c>
      <c r="C7" s="21" t="s">
        <v>28</v>
      </c>
      <c r="D7" s="21" t="s">
        <v>20</v>
      </c>
      <c r="E7" s="21" t="s">
        <v>1783</v>
      </c>
      <c r="F7" s="21" t="s">
        <v>17</v>
      </c>
      <c r="G7" s="21" t="s">
        <v>1784</v>
      </c>
      <c r="H7" s="21" t="s">
        <v>31</v>
      </c>
      <c r="I7" s="38" t="s">
        <v>1785</v>
      </c>
      <c r="J7" s="22">
        <f>COUNTA('Team Wise'!D8:D10)</f>
        <v>3</v>
      </c>
      <c r="K7" s="22">
        <f>COUNTIF('Team Wise'!K8:K10,"Present")</f>
        <v>0</v>
      </c>
      <c r="L7" s="14"/>
      <c r="M7" s="14"/>
      <c r="N7" s="14"/>
      <c r="O7" s="14"/>
      <c r="P7" s="22" t="str">
        <f t="shared" si="0"/>
        <v/>
      </c>
      <c r="Q7" s="39" t="str">
        <f t="shared" si="1"/>
        <v/>
      </c>
      <c r="R7" s="22" t="str">
        <f t="shared" si="2"/>
        <v/>
      </c>
      <c r="S7" s="37"/>
    </row>
    <row r="8" spans="1:19" ht="44.25" customHeight="1" x14ac:dyDescent="0.35">
      <c r="A8" s="12">
        <v>3</v>
      </c>
      <c r="B8" s="12" t="s">
        <v>39</v>
      </c>
      <c r="C8" s="11" t="s">
        <v>40</v>
      </c>
      <c r="D8" s="11" t="s">
        <v>20</v>
      </c>
      <c r="E8" s="11" t="s">
        <v>1786</v>
      </c>
      <c r="F8" s="11" t="s">
        <v>17</v>
      </c>
      <c r="G8" s="11" t="s">
        <v>42</v>
      </c>
      <c r="H8" s="11" t="s">
        <v>31</v>
      </c>
      <c r="I8" s="35" t="s">
        <v>1787</v>
      </c>
      <c r="J8" s="12">
        <f>COUNTA('Team Wise'!D11:D13)</f>
        <v>3</v>
      </c>
      <c r="K8" s="12">
        <f>COUNTIF('Team Wise'!K11:K13,"Present")</f>
        <v>0</v>
      </c>
      <c r="L8" s="14"/>
      <c r="M8" s="14"/>
      <c r="N8" s="14"/>
      <c r="O8" s="14"/>
      <c r="P8" s="12" t="str">
        <f t="shared" si="0"/>
        <v/>
      </c>
      <c r="Q8" s="36" t="str">
        <f t="shared" si="1"/>
        <v/>
      </c>
      <c r="R8" s="12" t="str">
        <f t="shared" si="2"/>
        <v/>
      </c>
      <c r="S8" s="37"/>
    </row>
    <row r="9" spans="1:19" ht="44.25" customHeight="1" x14ac:dyDescent="0.35">
      <c r="A9" s="22">
        <v>4</v>
      </c>
      <c r="B9" s="22" t="s">
        <v>48</v>
      </c>
      <c r="C9" s="21" t="s">
        <v>49</v>
      </c>
      <c r="D9" s="21" t="s">
        <v>20</v>
      </c>
      <c r="E9" s="21" t="s">
        <v>1788</v>
      </c>
      <c r="F9" s="21" t="s">
        <v>17</v>
      </c>
      <c r="G9" s="21" t="s">
        <v>1789</v>
      </c>
      <c r="H9" s="21" t="s">
        <v>1790</v>
      </c>
      <c r="I9" s="38" t="s">
        <v>1791</v>
      </c>
      <c r="J9" s="22">
        <f>COUNTA('Team Wise'!D14:D16)</f>
        <v>3</v>
      </c>
      <c r="K9" s="22">
        <f>COUNTIF('Team Wise'!K14:K16,"Present")</f>
        <v>0</v>
      </c>
      <c r="L9" s="14"/>
      <c r="M9" s="14"/>
      <c r="N9" s="14"/>
      <c r="O9" s="14"/>
      <c r="P9" s="22" t="str">
        <f t="shared" si="0"/>
        <v/>
      </c>
      <c r="Q9" s="39" t="str">
        <f t="shared" si="1"/>
        <v/>
      </c>
      <c r="R9" s="22" t="str">
        <f t="shared" si="2"/>
        <v/>
      </c>
      <c r="S9" s="37"/>
    </row>
    <row r="10" spans="1:19" ht="44.25" customHeight="1" x14ac:dyDescent="0.35">
      <c r="A10" s="12">
        <v>5</v>
      </c>
      <c r="B10" s="12" t="s">
        <v>57</v>
      </c>
      <c r="C10" s="11" t="s">
        <v>58</v>
      </c>
      <c r="D10" s="11" t="s">
        <v>20</v>
      </c>
      <c r="E10" s="11" t="s">
        <v>1792</v>
      </c>
      <c r="F10" s="11" t="s">
        <v>17</v>
      </c>
      <c r="G10" s="11" t="s">
        <v>18</v>
      </c>
      <c r="H10" s="11" t="s">
        <v>31</v>
      </c>
      <c r="I10" s="35" t="s">
        <v>1793</v>
      </c>
      <c r="J10" s="12">
        <f>COUNTA('Team Wise'!D17:D19)</f>
        <v>3</v>
      </c>
      <c r="K10" s="12">
        <f>COUNTIF('Team Wise'!K17:K19,"Present")</f>
        <v>0</v>
      </c>
      <c r="L10" s="14"/>
      <c r="M10" s="14"/>
      <c r="N10" s="14"/>
      <c r="O10" s="14"/>
      <c r="P10" s="12" t="str">
        <f t="shared" si="0"/>
        <v/>
      </c>
      <c r="Q10" s="36" t="str">
        <f t="shared" si="1"/>
        <v/>
      </c>
      <c r="R10" s="12" t="str">
        <f t="shared" si="2"/>
        <v/>
      </c>
      <c r="S10" s="37"/>
    </row>
    <row r="11" spans="1:19" ht="44.25" customHeight="1" x14ac:dyDescent="0.35">
      <c r="A11" s="22">
        <v>6</v>
      </c>
      <c r="B11" s="22" t="s">
        <v>65</v>
      </c>
      <c r="C11" s="21" t="s">
        <v>66</v>
      </c>
      <c r="D11" s="21" t="s">
        <v>20</v>
      </c>
      <c r="E11" s="21" t="s">
        <v>1794</v>
      </c>
      <c r="F11" s="21" t="s">
        <v>17</v>
      </c>
      <c r="G11" s="21" t="s">
        <v>1795</v>
      </c>
      <c r="H11" s="21" t="s">
        <v>55</v>
      </c>
      <c r="I11" s="38" t="s">
        <v>1796</v>
      </c>
      <c r="J11" s="22">
        <f>COUNTA('Team Wise'!D20:D22)</f>
        <v>3</v>
      </c>
      <c r="K11" s="22">
        <f>COUNTIF('Team Wise'!K20:K22,"Present")</f>
        <v>0</v>
      </c>
      <c r="L11" s="14"/>
      <c r="M11" s="14"/>
      <c r="N11" s="14"/>
      <c r="O11" s="14"/>
      <c r="P11" s="22" t="str">
        <f t="shared" si="0"/>
        <v/>
      </c>
      <c r="Q11" s="39" t="str">
        <f t="shared" si="1"/>
        <v/>
      </c>
      <c r="R11" s="22" t="str">
        <f t="shared" si="2"/>
        <v/>
      </c>
      <c r="S11" s="37"/>
    </row>
    <row r="12" spans="1:19" ht="44.25" customHeight="1" x14ac:dyDescent="0.35">
      <c r="A12" s="12">
        <v>7</v>
      </c>
      <c r="B12" s="12" t="s">
        <v>73</v>
      </c>
      <c r="C12" s="11" t="s">
        <v>74</v>
      </c>
      <c r="D12" s="11" t="s">
        <v>20</v>
      </c>
      <c r="E12" s="11" t="s">
        <v>1797</v>
      </c>
      <c r="F12" s="11" t="s">
        <v>17</v>
      </c>
      <c r="G12" s="11" t="s">
        <v>30</v>
      </c>
      <c r="H12" s="11" t="s">
        <v>31</v>
      </c>
      <c r="I12" s="35" t="s">
        <v>1798</v>
      </c>
      <c r="J12" s="12">
        <f>COUNTA('Team Wise'!D23:D25)</f>
        <v>3</v>
      </c>
      <c r="K12" s="12">
        <f>COUNTIF('Team Wise'!K23:K25,"Present")</f>
        <v>0</v>
      </c>
      <c r="L12" s="14"/>
      <c r="M12" s="14"/>
      <c r="N12" s="14"/>
      <c r="O12" s="14"/>
      <c r="P12" s="12" t="str">
        <f t="shared" si="0"/>
        <v/>
      </c>
      <c r="Q12" s="36" t="str">
        <f t="shared" si="1"/>
        <v/>
      </c>
      <c r="R12" s="12" t="str">
        <f t="shared" si="2"/>
        <v/>
      </c>
      <c r="S12" s="37"/>
    </row>
    <row r="13" spans="1:19" ht="44.25" customHeight="1" x14ac:dyDescent="0.35">
      <c r="A13" s="22">
        <v>8</v>
      </c>
      <c r="B13" s="22" t="s">
        <v>81</v>
      </c>
      <c r="C13" s="21" t="s">
        <v>82</v>
      </c>
      <c r="D13" s="21" t="s">
        <v>20</v>
      </c>
      <c r="E13" s="21" t="s">
        <v>1799</v>
      </c>
      <c r="F13" s="21" t="s">
        <v>17</v>
      </c>
      <c r="G13" s="21" t="s">
        <v>1800</v>
      </c>
      <c r="H13" s="21" t="s">
        <v>55</v>
      </c>
      <c r="I13" s="38" t="s">
        <v>1801</v>
      </c>
      <c r="J13" s="22">
        <f>COUNTA('Team Wise'!D26:D28)</f>
        <v>3</v>
      </c>
      <c r="K13" s="22">
        <f>COUNTIF('Team Wise'!K26:K28,"Present")</f>
        <v>0</v>
      </c>
      <c r="L13" s="14"/>
      <c r="M13" s="14"/>
      <c r="N13" s="14"/>
      <c r="O13" s="14"/>
      <c r="P13" s="22" t="str">
        <f t="shared" si="0"/>
        <v/>
      </c>
      <c r="Q13" s="39" t="str">
        <f t="shared" si="1"/>
        <v/>
      </c>
      <c r="R13" s="22" t="str">
        <f t="shared" si="2"/>
        <v/>
      </c>
      <c r="S13" s="37"/>
    </row>
    <row r="14" spans="1:19" ht="44.25" customHeight="1" x14ac:dyDescent="0.35">
      <c r="A14" s="12">
        <v>9</v>
      </c>
      <c r="B14" s="12" t="s">
        <v>89</v>
      </c>
      <c r="C14" s="11" t="s">
        <v>90</v>
      </c>
      <c r="D14" s="11" t="s">
        <v>20</v>
      </c>
      <c r="E14" s="11" t="s">
        <v>1802</v>
      </c>
      <c r="F14" s="11" t="s">
        <v>17</v>
      </c>
      <c r="G14" s="11" t="s">
        <v>92</v>
      </c>
      <c r="H14" s="11" t="s">
        <v>55</v>
      </c>
      <c r="I14" s="35" t="s">
        <v>1803</v>
      </c>
      <c r="J14" s="12">
        <f>COUNTA('Team Wise'!D29:D31)</f>
        <v>3</v>
      </c>
      <c r="K14" s="12">
        <f>COUNTIF('Team Wise'!K29:K31,"Present")</f>
        <v>0</v>
      </c>
      <c r="L14" s="14"/>
      <c r="M14" s="14"/>
      <c r="N14" s="14"/>
      <c r="O14" s="14"/>
      <c r="P14" s="12" t="str">
        <f t="shared" si="0"/>
        <v/>
      </c>
      <c r="Q14" s="36" t="str">
        <f t="shared" si="1"/>
        <v/>
      </c>
      <c r="R14" s="12" t="str">
        <f t="shared" si="2"/>
        <v/>
      </c>
      <c r="S14" s="37"/>
    </row>
    <row r="15" spans="1:19" ht="44.25" customHeight="1" x14ac:dyDescent="0.35">
      <c r="A15" s="22">
        <v>10</v>
      </c>
      <c r="B15" s="22" t="s">
        <v>98</v>
      </c>
      <c r="C15" s="21" t="s">
        <v>99</v>
      </c>
      <c r="D15" s="21" t="s">
        <v>20</v>
      </c>
      <c r="E15" s="21" t="s">
        <v>1804</v>
      </c>
      <c r="F15" s="21" t="s">
        <v>17</v>
      </c>
      <c r="G15" s="21" t="s">
        <v>42</v>
      </c>
      <c r="H15" s="21" t="s">
        <v>31</v>
      </c>
      <c r="I15" s="38" t="s">
        <v>1805</v>
      </c>
      <c r="J15" s="22">
        <f>COUNTA('Team Wise'!D32:D34)</f>
        <v>3</v>
      </c>
      <c r="K15" s="22">
        <f>COUNTIF('Team Wise'!K32:K34,"Present")</f>
        <v>0</v>
      </c>
      <c r="L15" s="14"/>
      <c r="M15" s="14"/>
      <c r="N15" s="14"/>
      <c r="O15" s="14"/>
      <c r="P15" s="22" t="str">
        <f t="shared" si="0"/>
        <v/>
      </c>
      <c r="Q15" s="39" t="str">
        <f t="shared" si="1"/>
        <v/>
      </c>
      <c r="R15" s="22" t="str">
        <f t="shared" si="2"/>
        <v/>
      </c>
      <c r="S15" s="37"/>
    </row>
    <row r="16" spans="1:19" ht="44.25" customHeight="1" x14ac:dyDescent="0.35">
      <c r="A16" s="12">
        <v>11</v>
      </c>
      <c r="B16" s="12" t="s">
        <v>106</v>
      </c>
      <c r="C16" s="11" t="s">
        <v>107</v>
      </c>
      <c r="D16" s="11" t="s">
        <v>20</v>
      </c>
      <c r="E16" s="11" t="s">
        <v>1806</v>
      </c>
      <c r="F16" s="11" t="s">
        <v>17</v>
      </c>
      <c r="G16" s="11" t="s">
        <v>92</v>
      </c>
      <c r="H16" s="11" t="s">
        <v>31</v>
      </c>
      <c r="I16" s="35" t="s">
        <v>1807</v>
      </c>
      <c r="J16" s="12">
        <f>COUNTA('Team Wise'!D35:D37)</f>
        <v>3</v>
      </c>
      <c r="K16" s="12">
        <f>COUNTIF('Team Wise'!K35:K37,"Present")</f>
        <v>0</v>
      </c>
      <c r="L16" s="14"/>
      <c r="M16" s="14"/>
      <c r="N16" s="14"/>
      <c r="O16" s="14"/>
      <c r="P16" s="12" t="str">
        <f t="shared" si="0"/>
        <v/>
      </c>
      <c r="Q16" s="36" t="str">
        <f t="shared" si="1"/>
        <v/>
      </c>
      <c r="R16" s="12" t="str">
        <f t="shared" si="2"/>
        <v/>
      </c>
      <c r="S16" s="37"/>
    </row>
    <row r="17" spans="1:19" ht="44.25" customHeight="1" x14ac:dyDescent="0.35">
      <c r="A17" s="22">
        <v>12</v>
      </c>
      <c r="B17" s="22" t="s">
        <v>114</v>
      </c>
      <c r="C17" s="21" t="s">
        <v>115</v>
      </c>
      <c r="D17" s="21" t="s">
        <v>20</v>
      </c>
      <c r="E17" s="21" t="s">
        <v>1808</v>
      </c>
      <c r="F17" s="21" t="s">
        <v>17</v>
      </c>
      <c r="G17" s="21" t="s">
        <v>42</v>
      </c>
      <c r="H17" s="21" t="s">
        <v>31</v>
      </c>
      <c r="I17" s="38" t="s">
        <v>1809</v>
      </c>
      <c r="J17" s="22">
        <f>COUNTA('Team Wise'!D38:D40)</f>
        <v>3</v>
      </c>
      <c r="K17" s="22">
        <f>COUNTIF('Team Wise'!K38:K40,"Present")</f>
        <v>0</v>
      </c>
      <c r="L17" s="14"/>
      <c r="M17" s="14"/>
      <c r="N17" s="14"/>
      <c r="O17" s="14"/>
      <c r="P17" s="22" t="str">
        <f t="shared" si="0"/>
        <v/>
      </c>
      <c r="Q17" s="39" t="str">
        <f t="shared" si="1"/>
        <v/>
      </c>
      <c r="R17" s="22" t="str">
        <f t="shared" si="2"/>
        <v/>
      </c>
      <c r="S17" s="37"/>
    </row>
    <row r="18" spans="1:19" ht="44.25" customHeight="1" x14ac:dyDescent="0.35">
      <c r="A18" s="12">
        <v>13</v>
      </c>
      <c r="B18" s="12" t="s">
        <v>122</v>
      </c>
      <c r="C18" s="11" t="s">
        <v>123</v>
      </c>
      <c r="D18" s="11" t="s">
        <v>20</v>
      </c>
      <c r="E18" s="11" t="s">
        <v>1810</v>
      </c>
      <c r="F18" s="11" t="s">
        <v>17</v>
      </c>
      <c r="G18" s="11" t="s">
        <v>1811</v>
      </c>
      <c r="H18" s="11" t="s">
        <v>55</v>
      </c>
      <c r="I18" s="35" t="s">
        <v>1812</v>
      </c>
      <c r="J18" s="12">
        <f>COUNTA('Team Wise'!D41:D43)</f>
        <v>3</v>
      </c>
      <c r="K18" s="12">
        <f>COUNTIF('Team Wise'!K41:K43,"Present")</f>
        <v>0</v>
      </c>
      <c r="L18" s="14"/>
      <c r="M18" s="14"/>
      <c r="N18" s="14"/>
      <c r="O18" s="14"/>
      <c r="P18" s="12" t="str">
        <f t="shared" si="0"/>
        <v/>
      </c>
      <c r="Q18" s="36" t="str">
        <f t="shared" si="1"/>
        <v/>
      </c>
      <c r="R18" s="12" t="str">
        <f t="shared" si="2"/>
        <v/>
      </c>
      <c r="S18" s="37"/>
    </row>
    <row r="19" spans="1:19" ht="57.75" customHeight="1" x14ac:dyDescent="0.35">
      <c r="A19" s="22">
        <v>14</v>
      </c>
      <c r="B19" s="22" t="s">
        <v>130</v>
      </c>
      <c r="C19" s="21" t="s">
        <v>131</v>
      </c>
      <c r="D19" s="21" t="s">
        <v>20</v>
      </c>
      <c r="E19" s="21" t="s">
        <v>1813</v>
      </c>
      <c r="F19" s="21" t="s">
        <v>1814</v>
      </c>
      <c r="G19" s="21" t="s">
        <v>1800</v>
      </c>
      <c r="H19" s="21" t="s">
        <v>31</v>
      </c>
      <c r="I19" s="38" t="s">
        <v>1815</v>
      </c>
      <c r="J19" s="22">
        <f>COUNTA('Team Wise'!D44:D46)</f>
        <v>3</v>
      </c>
      <c r="K19" s="22">
        <f>COUNTIF('Team Wise'!K44:K46,"Present")</f>
        <v>0</v>
      </c>
      <c r="L19" s="14"/>
      <c r="M19" s="14"/>
      <c r="N19" s="14"/>
      <c r="O19" s="14"/>
      <c r="P19" s="22" t="str">
        <f t="shared" si="0"/>
        <v/>
      </c>
      <c r="Q19" s="39" t="str">
        <f t="shared" si="1"/>
        <v/>
      </c>
      <c r="R19" s="22" t="str">
        <f t="shared" si="2"/>
        <v/>
      </c>
      <c r="S19" s="37"/>
    </row>
    <row r="20" spans="1:19" ht="44.25" customHeight="1" x14ac:dyDescent="0.35">
      <c r="A20" s="12">
        <v>15</v>
      </c>
      <c r="B20" s="12" t="s">
        <v>140</v>
      </c>
      <c r="C20" s="11" t="s">
        <v>141</v>
      </c>
      <c r="D20" s="11" t="s">
        <v>20</v>
      </c>
      <c r="E20" s="11" t="s">
        <v>1816</v>
      </c>
      <c r="F20" s="11" t="s">
        <v>17</v>
      </c>
      <c r="G20" s="11" t="s">
        <v>92</v>
      </c>
      <c r="H20" s="11" t="s">
        <v>31</v>
      </c>
      <c r="I20" s="35" t="s">
        <v>1817</v>
      </c>
      <c r="J20" s="12">
        <f>COUNTA('Team Wise'!D47:D49)</f>
        <v>3</v>
      </c>
      <c r="K20" s="12">
        <f>COUNTIF('Team Wise'!K47:K49,"Present")</f>
        <v>0</v>
      </c>
      <c r="L20" s="14"/>
      <c r="M20" s="14"/>
      <c r="N20" s="14"/>
      <c r="O20" s="14"/>
      <c r="P20" s="12" t="str">
        <f t="shared" si="0"/>
        <v/>
      </c>
      <c r="Q20" s="36" t="str">
        <f t="shared" si="1"/>
        <v/>
      </c>
      <c r="R20" s="12" t="str">
        <f t="shared" si="2"/>
        <v/>
      </c>
      <c r="S20" s="37"/>
    </row>
    <row r="21" spans="1:19" ht="44.25" customHeight="1" x14ac:dyDescent="0.35">
      <c r="A21" s="22">
        <v>16</v>
      </c>
      <c r="B21" s="22" t="s">
        <v>148</v>
      </c>
      <c r="C21" s="21" t="s">
        <v>149</v>
      </c>
      <c r="D21" s="21" t="s">
        <v>20</v>
      </c>
      <c r="E21" s="21" t="s">
        <v>1818</v>
      </c>
      <c r="F21" s="21" t="s">
        <v>17</v>
      </c>
      <c r="G21" s="21" t="s">
        <v>42</v>
      </c>
      <c r="H21" s="21" t="s">
        <v>55</v>
      </c>
      <c r="I21" s="38" t="s">
        <v>1819</v>
      </c>
      <c r="J21" s="22">
        <f>COUNTA('Team Wise'!D50:D52)</f>
        <v>3</v>
      </c>
      <c r="K21" s="22">
        <f>COUNTIF('Team Wise'!K50:K52,"Present")</f>
        <v>0</v>
      </c>
      <c r="L21" s="14"/>
      <c r="M21" s="14"/>
      <c r="N21" s="14"/>
      <c r="O21" s="14"/>
      <c r="P21" s="22" t="str">
        <f t="shared" si="0"/>
        <v/>
      </c>
      <c r="Q21" s="39" t="str">
        <f t="shared" si="1"/>
        <v/>
      </c>
      <c r="R21" s="22" t="str">
        <f t="shared" si="2"/>
        <v/>
      </c>
      <c r="S21" s="37"/>
    </row>
    <row r="22" spans="1:19" ht="44.25" customHeight="1" x14ac:dyDescent="0.35">
      <c r="A22" s="12">
        <v>17</v>
      </c>
      <c r="B22" s="12" t="s">
        <v>156</v>
      </c>
      <c r="C22" s="11" t="s">
        <v>157</v>
      </c>
      <c r="D22" s="11" t="s">
        <v>20</v>
      </c>
      <c r="E22" s="11" t="s">
        <v>1820</v>
      </c>
      <c r="F22" s="11" t="s">
        <v>17</v>
      </c>
      <c r="G22" s="11" t="s">
        <v>92</v>
      </c>
      <c r="H22" s="11" t="s">
        <v>31</v>
      </c>
      <c r="I22" s="35" t="s">
        <v>1821</v>
      </c>
      <c r="J22" s="12">
        <f>COUNTA('Team Wise'!D53:D55)</f>
        <v>3</v>
      </c>
      <c r="K22" s="12">
        <f>COUNTIF('Team Wise'!K53:K55,"Present")</f>
        <v>0</v>
      </c>
      <c r="L22" s="14"/>
      <c r="M22" s="14"/>
      <c r="N22" s="14"/>
      <c r="O22" s="14"/>
      <c r="P22" s="12" t="str">
        <f t="shared" si="0"/>
        <v/>
      </c>
      <c r="Q22" s="36" t="str">
        <f t="shared" si="1"/>
        <v/>
      </c>
      <c r="R22" s="12" t="str">
        <f t="shared" si="2"/>
        <v/>
      </c>
      <c r="S22" s="37"/>
    </row>
    <row r="23" spans="1:19" ht="44.25" customHeight="1" x14ac:dyDescent="0.35">
      <c r="A23" s="22">
        <v>18</v>
      </c>
      <c r="B23" s="22" t="s">
        <v>164</v>
      </c>
      <c r="C23" s="21" t="s">
        <v>165</v>
      </c>
      <c r="D23" s="21" t="s">
        <v>20</v>
      </c>
      <c r="E23" s="21" t="s">
        <v>1822</v>
      </c>
      <c r="F23" s="21" t="s">
        <v>167</v>
      </c>
      <c r="G23" s="21" t="s">
        <v>1800</v>
      </c>
      <c r="H23" s="21" t="s">
        <v>31</v>
      </c>
      <c r="I23" s="38" t="s">
        <v>1823</v>
      </c>
      <c r="J23" s="22">
        <f>COUNTA('Team Wise'!D56:D58)</f>
        <v>3</v>
      </c>
      <c r="K23" s="22">
        <f>COUNTIF('Team Wise'!K56:K58,"Present")</f>
        <v>0</v>
      </c>
      <c r="L23" s="14"/>
      <c r="M23" s="14"/>
      <c r="N23" s="14"/>
      <c r="O23" s="14"/>
      <c r="P23" s="22" t="str">
        <f t="shared" si="0"/>
        <v/>
      </c>
      <c r="Q23" s="39" t="str">
        <f t="shared" si="1"/>
        <v/>
      </c>
      <c r="R23" s="22" t="str">
        <f t="shared" si="2"/>
        <v/>
      </c>
      <c r="S23" s="37"/>
    </row>
    <row r="24" spans="1:19" ht="44.25" customHeight="1" x14ac:dyDescent="0.35">
      <c r="A24" s="12">
        <v>19</v>
      </c>
      <c r="B24" s="12" t="s">
        <v>173</v>
      </c>
      <c r="C24" s="11" t="s">
        <v>174</v>
      </c>
      <c r="D24" s="11" t="s">
        <v>20</v>
      </c>
      <c r="E24" s="11" t="s">
        <v>1824</v>
      </c>
      <c r="F24" s="11" t="s">
        <v>17</v>
      </c>
      <c r="G24" s="11" t="s">
        <v>92</v>
      </c>
      <c r="H24" s="11" t="s">
        <v>31</v>
      </c>
      <c r="I24" s="35" t="s">
        <v>1825</v>
      </c>
      <c r="J24" s="12">
        <f>COUNTA('Team Wise'!D59:D61)</f>
        <v>3</v>
      </c>
      <c r="K24" s="12">
        <f>COUNTIF('Team Wise'!K59:K61,"Present")</f>
        <v>0</v>
      </c>
      <c r="L24" s="14"/>
      <c r="M24" s="14"/>
      <c r="N24" s="14"/>
      <c r="O24" s="14"/>
      <c r="P24" s="12" t="str">
        <f t="shared" si="0"/>
        <v/>
      </c>
      <c r="Q24" s="36" t="str">
        <f t="shared" si="1"/>
        <v/>
      </c>
      <c r="R24" s="12" t="str">
        <f t="shared" si="2"/>
        <v/>
      </c>
      <c r="S24" s="37"/>
    </row>
    <row r="25" spans="1:19" ht="44.25" customHeight="1" x14ac:dyDescent="0.35">
      <c r="A25" s="22">
        <v>20</v>
      </c>
      <c r="B25" s="22" t="s">
        <v>181</v>
      </c>
      <c r="C25" s="21" t="s">
        <v>182</v>
      </c>
      <c r="D25" s="21" t="s">
        <v>20</v>
      </c>
      <c r="E25" s="21" t="s">
        <v>1826</v>
      </c>
      <c r="F25" s="21" t="s">
        <v>17</v>
      </c>
      <c r="G25" s="21" t="s">
        <v>92</v>
      </c>
      <c r="H25" s="21" t="s">
        <v>55</v>
      </c>
      <c r="I25" s="38" t="s">
        <v>1827</v>
      </c>
      <c r="J25" s="22">
        <f>COUNTA('Team Wise'!D62:D64)</f>
        <v>3</v>
      </c>
      <c r="K25" s="22">
        <f>COUNTIF('Team Wise'!K62:K64,"Present")</f>
        <v>0</v>
      </c>
      <c r="L25" s="14"/>
      <c r="M25" s="14"/>
      <c r="N25" s="14"/>
      <c r="O25" s="14"/>
      <c r="P25" s="22" t="str">
        <f t="shared" si="0"/>
        <v/>
      </c>
      <c r="Q25" s="39" t="str">
        <f t="shared" si="1"/>
        <v/>
      </c>
      <c r="R25" s="22" t="str">
        <f t="shared" si="2"/>
        <v/>
      </c>
      <c r="S25" s="37"/>
    </row>
    <row r="26" spans="1:19" ht="44.25" customHeight="1" x14ac:dyDescent="0.35">
      <c r="A26" s="12">
        <v>21</v>
      </c>
      <c r="B26" s="12" t="s">
        <v>189</v>
      </c>
      <c r="C26" s="11" t="s">
        <v>190</v>
      </c>
      <c r="D26" s="11" t="s">
        <v>20</v>
      </c>
      <c r="E26" s="11" t="s">
        <v>1828</v>
      </c>
      <c r="F26" s="11" t="s">
        <v>192</v>
      </c>
      <c r="G26" s="11" t="s">
        <v>1800</v>
      </c>
      <c r="H26" s="11" t="s">
        <v>193</v>
      </c>
      <c r="I26" s="35" t="s">
        <v>1829</v>
      </c>
      <c r="J26" s="12">
        <f>COUNTA('Team Wise'!D65:D67)</f>
        <v>3</v>
      </c>
      <c r="K26" s="12">
        <f>COUNTIF('Team Wise'!K65:K67,"Present")</f>
        <v>0</v>
      </c>
      <c r="L26" s="14"/>
      <c r="M26" s="14"/>
      <c r="N26" s="14"/>
      <c r="O26" s="14"/>
      <c r="P26" s="12" t="str">
        <f t="shared" si="0"/>
        <v/>
      </c>
      <c r="Q26" s="36" t="str">
        <f t="shared" si="1"/>
        <v/>
      </c>
      <c r="R26" s="12" t="str">
        <f t="shared" si="2"/>
        <v/>
      </c>
      <c r="S26" s="37"/>
    </row>
    <row r="27" spans="1:19" ht="44.25" customHeight="1" x14ac:dyDescent="0.35">
      <c r="A27" s="22">
        <v>22</v>
      </c>
      <c r="B27" s="22" t="s">
        <v>199</v>
      </c>
      <c r="C27" s="21" t="s">
        <v>200</v>
      </c>
      <c r="D27" s="21" t="s">
        <v>20</v>
      </c>
      <c r="E27" s="21" t="s">
        <v>1830</v>
      </c>
      <c r="F27" s="21" t="s">
        <v>17</v>
      </c>
      <c r="G27" s="21" t="s">
        <v>92</v>
      </c>
      <c r="H27" s="21" t="s">
        <v>55</v>
      </c>
      <c r="I27" s="38" t="s">
        <v>1831</v>
      </c>
      <c r="J27" s="22">
        <f>COUNTA('Team Wise'!D68:D70)</f>
        <v>3</v>
      </c>
      <c r="K27" s="22">
        <f>COUNTIF('Team Wise'!K68:K70,"Present")</f>
        <v>0</v>
      </c>
      <c r="L27" s="14"/>
      <c r="M27" s="14"/>
      <c r="N27" s="14"/>
      <c r="O27" s="14"/>
      <c r="P27" s="22" t="str">
        <f t="shared" si="0"/>
        <v/>
      </c>
      <c r="Q27" s="39" t="str">
        <f t="shared" si="1"/>
        <v/>
      </c>
      <c r="R27" s="22" t="str">
        <f t="shared" si="2"/>
        <v/>
      </c>
      <c r="S27" s="37"/>
    </row>
    <row r="28" spans="1:19" ht="44.25" customHeight="1" x14ac:dyDescent="0.35">
      <c r="A28" s="12">
        <v>23</v>
      </c>
      <c r="B28" s="12" t="s">
        <v>207</v>
      </c>
      <c r="C28" s="11" t="s">
        <v>208</v>
      </c>
      <c r="D28" s="11" t="s">
        <v>20</v>
      </c>
      <c r="E28" s="11" t="s">
        <v>1832</v>
      </c>
      <c r="F28" s="11" t="s">
        <v>17</v>
      </c>
      <c r="G28" s="11" t="s">
        <v>92</v>
      </c>
      <c r="H28" s="11" t="s">
        <v>55</v>
      </c>
      <c r="I28" s="35" t="s">
        <v>1833</v>
      </c>
      <c r="J28" s="12">
        <f>COUNTA('Team Wise'!D71:D73)</f>
        <v>3</v>
      </c>
      <c r="K28" s="12">
        <f>COUNTIF('Team Wise'!K71:K73,"Present")</f>
        <v>0</v>
      </c>
      <c r="L28" s="14"/>
      <c r="M28" s="14"/>
      <c r="N28" s="14"/>
      <c r="O28" s="14"/>
      <c r="P28" s="12" t="str">
        <f t="shared" si="0"/>
        <v/>
      </c>
      <c r="Q28" s="36" t="str">
        <f t="shared" si="1"/>
        <v/>
      </c>
      <c r="R28" s="12" t="str">
        <f t="shared" si="2"/>
        <v/>
      </c>
      <c r="S28" s="37"/>
    </row>
    <row r="29" spans="1:19" ht="44.25" customHeight="1" x14ac:dyDescent="0.35">
      <c r="A29" s="22">
        <v>24</v>
      </c>
      <c r="B29" s="22" t="s">
        <v>215</v>
      </c>
      <c r="C29" s="21" t="s">
        <v>216</v>
      </c>
      <c r="D29" s="21" t="s">
        <v>20</v>
      </c>
      <c r="E29" s="21" t="s">
        <v>1834</v>
      </c>
      <c r="F29" s="21" t="s">
        <v>218</v>
      </c>
      <c r="G29" s="21" t="s">
        <v>42</v>
      </c>
      <c r="H29" s="21" t="s">
        <v>31</v>
      </c>
      <c r="I29" s="38" t="s">
        <v>1835</v>
      </c>
      <c r="J29" s="22">
        <f>COUNTA('Team Wise'!D74:D76)</f>
        <v>3</v>
      </c>
      <c r="K29" s="22">
        <f>COUNTIF('Team Wise'!K74:K76,"Present")</f>
        <v>0</v>
      </c>
      <c r="L29" s="14"/>
      <c r="M29" s="14"/>
      <c r="N29" s="14"/>
      <c r="O29" s="14"/>
      <c r="P29" s="22" t="str">
        <f t="shared" si="0"/>
        <v/>
      </c>
      <c r="Q29" s="39" t="str">
        <f t="shared" si="1"/>
        <v/>
      </c>
      <c r="R29" s="22" t="str">
        <f t="shared" si="2"/>
        <v/>
      </c>
      <c r="S29" s="37"/>
    </row>
    <row r="30" spans="1:19" ht="44.25" customHeight="1" x14ac:dyDescent="0.35">
      <c r="A30" s="12">
        <v>25</v>
      </c>
      <c r="B30" s="12" t="s">
        <v>224</v>
      </c>
      <c r="C30" s="11" t="s">
        <v>216</v>
      </c>
      <c r="D30" s="11" t="s">
        <v>20</v>
      </c>
      <c r="E30" s="11" t="s">
        <v>1836</v>
      </c>
      <c r="F30" s="11" t="s">
        <v>17</v>
      </c>
      <c r="G30" s="11" t="s">
        <v>42</v>
      </c>
      <c r="H30" s="11" t="s">
        <v>31</v>
      </c>
      <c r="I30" s="35" t="s">
        <v>1837</v>
      </c>
      <c r="J30" s="12">
        <f>COUNTA('Team Wise'!D77:D79)</f>
        <v>3</v>
      </c>
      <c r="K30" s="12">
        <f>COUNTIF('Team Wise'!K77:K79,"Present")</f>
        <v>0</v>
      </c>
      <c r="L30" s="14"/>
      <c r="M30" s="14"/>
      <c r="N30" s="14"/>
      <c r="O30" s="14"/>
      <c r="P30" s="12" t="str">
        <f t="shared" si="0"/>
        <v/>
      </c>
      <c r="Q30" s="36" t="str">
        <f t="shared" si="1"/>
        <v/>
      </c>
      <c r="R30" s="12" t="str">
        <f t="shared" si="2"/>
        <v/>
      </c>
      <c r="S30" s="37"/>
    </row>
    <row r="31" spans="1:19" ht="44.25" customHeight="1" x14ac:dyDescent="0.35">
      <c r="A31" s="22">
        <v>26</v>
      </c>
      <c r="B31" s="22" t="s">
        <v>231</v>
      </c>
      <c r="C31" s="21" t="s">
        <v>232</v>
      </c>
      <c r="D31" s="21" t="s">
        <v>20</v>
      </c>
      <c r="E31" s="21" t="s">
        <v>1838</v>
      </c>
      <c r="F31" s="21" t="s">
        <v>234</v>
      </c>
      <c r="G31" s="21" t="s">
        <v>30</v>
      </c>
      <c r="H31" s="21" t="s">
        <v>55</v>
      </c>
      <c r="I31" s="38" t="s">
        <v>1839</v>
      </c>
      <c r="J31" s="22">
        <f>COUNTA('Team Wise'!D80:D82)</f>
        <v>3</v>
      </c>
      <c r="K31" s="22">
        <f>COUNTIF('Team Wise'!K80:K82,"Present")</f>
        <v>0</v>
      </c>
      <c r="L31" s="14"/>
      <c r="M31" s="14"/>
      <c r="N31" s="14"/>
      <c r="O31" s="14"/>
      <c r="P31" s="22" t="str">
        <f t="shared" si="0"/>
        <v/>
      </c>
      <c r="Q31" s="39" t="str">
        <f t="shared" si="1"/>
        <v/>
      </c>
      <c r="R31" s="22" t="str">
        <f t="shared" si="2"/>
        <v/>
      </c>
      <c r="S31" s="37"/>
    </row>
    <row r="32" spans="1:19" ht="44.25" customHeight="1" x14ac:dyDescent="0.35">
      <c r="A32" s="12">
        <v>27</v>
      </c>
      <c r="B32" s="12" t="s">
        <v>240</v>
      </c>
      <c r="C32" s="11" t="s">
        <v>241</v>
      </c>
      <c r="D32" s="11" t="s">
        <v>20</v>
      </c>
      <c r="E32" s="11" t="s">
        <v>1840</v>
      </c>
      <c r="F32" s="11" t="s">
        <v>243</v>
      </c>
      <c r="G32" s="11" t="s">
        <v>92</v>
      </c>
      <c r="H32" s="11" t="s">
        <v>55</v>
      </c>
      <c r="I32" s="35" t="s">
        <v>1841</v>
      </c>
      <c r="J32" s="12">
        <f>COUNTA('Team Wise'!D83:D85)</f>
        <v>3</v>
      </c>
      <c r="K32" s="12">
        <f>COUNTIF('Team Wise'!K83:K85,"Present")</f>
        <v>0</v>
      </c>
      <c r="L32" s="14"/>
      <c r="M32" s="14"/>
      <c r="N32" s="14"/>
      <c r="O32" s="14"/>
      <c r="P32" s="12" t="str">
        <f t="shared" si="0"/>
        <v/>
      </c>
      <c r="Q32" s="36" t="str">
        <f t="shared" si="1"/>
        <v/>
      </c>
      <c r="R32" s="12" t="str">
        <f t="shared" si="2"/>
        <v/>
      </c>
      <c r="S32" s="37"/>
    </row>
    <row r="33" spans="1:19" ht="44.25" customHeight="1" x14ac:dyDescent="0.35">
      <c r="A33" s="22">
        <v>28</v>
      </c>
      <c r="B33" s="22" t="s">
        <v>249</v>
      </c>
      <c r="C33" s="21" t="s">
        <v>250</v>
      </c>
      <c r="D33" s="21" t="s">
        <v>20</v>
      </c>
      <c r="E33" s="21" t="s">
        <v>1842</v>
      </c>
      <c r="F33" s="21" t="s">
        <v>17</v>
      </c>
      <c r="G33" s="21" t="s">
        <v>92</v>
      </c>
      <c r="H33" s="21" t="s">
        <v>55</v>
      </c>
      <c r="I33" s="38" t="s">
        <v>1843</v>
      </c>
      <c r="J33" s="22">
        <f>COUNTA('Team Wise'!D86:D88)</f>
        <v>3</v>
      </c>
      <c r="K33" s="22">
        <f>COUNTIF('Team Wise'!K86:K88,"Present")</f>
        <v>0</v>
      </c>
      <c r="L33" s="14"/>
      <c r="M33" s="14"/>
      <c r="N33" s="14"/>
      <c r="O33" s="14"/>
      <c r="P33" s="22" t="str">
        <f t="shared" si="0"/>
        <v/>
      </c>
      <c r="Q33" s="39" t="str">
        <f t="shared" si="1"/>
        <v/>
      </c>
      <c r="R33" s="22" t="str">
        <f t="shared" si="2"/>
        <v/>
      </c>
      <c r="S33" s="37"/>
    </row>
    <row r="34" spans="1:19" ht="44.25" customHeight="1" x14ac:dyDescent="0.35">
      <c r="A34" s="12">
        <v>29</v>
      </c>
      <c r="B34" s="12" t="s">
        <v>257</v>
      </c>
      <c r="C34" s="11" t="s">
        <v>258</v>
      </c>
      <c r="D34" s="11" t="s">
        <v>20</v>
      </c>
      <c r="E34" s="11" t="s">
        <v>1844</v>
      </c>
      <c r="F34" s="11" t="s">
        <v>17</v>
      </c>
      <c r="G34" s="11" t="s">
        <v>92</v>
      </c>
      <c r="H34" s="11" t="s">
        <v>31</v>
      </c>
      <c r="I34" s="35" t="s">
        <v>1845</v>
      </c>
      <c r="J34" s="12">
        <f>COUNTA('Team Wise'!D89:D91)</f>
        <v>3</v>
      </c>
      <c r="K34" s="12">
        <f>COUNTIF('Team Wise'!K89:K91,"Present")</f>
        <v>0</v>
      </c>
      <c r="L34" s="14"/>
      <c r="M34" s="14"/>
      <c r="N34" s="14"/>
      <c r="O34" s="14"/>
      <c r="P34" s="12" t="str">
        <f t="shared" si="0"/>
        <v/>
      </c>
      <c r="Q34" s="36" t="str">
        <f t="shared" si="1"/>
        <v/>
      </c>
      <c r="R34" s="12" t="str">
        <f t="shared" si="2"/>
        <v/>
      </c>
      <c r="S34" s="37"/>
    </row>
    <row r="35" spans="1:19" ht="44.25" customHeight="1" x14ac:dyDescent="0.35">
      <c r="A35" s="22">
        <v>30</v>
      </c>
      <c r="B35" s="22" t="s">
        <v>265</v>
      </c>
      <c r="C35" s="21" t="s">
        <v>266</v>
      </c>
      <c r="D35" s="21" t="s">
        <v>20</v>
      </c>
      <c r="E35" s="21" t="s">
        <v>1846</v>
      </c>
      <c r="F35" s="21" t="s">
        <v>17</v>
      </c>
      <c r="G35" s="21" t="s">
        <v>30</v>
      </c>
      <c r="H35" s="21" t="s">
        <v>31</v>
      </c>
      <c r="I35" s="38" t="s">
        <v>1847</v>
      </c>
      <c r="J35" s="22">
        <f>COUNTA('Team Wise'!D92:D94)</f>
        <v>3</v>
      </c>
      <c r="K35" s="22">
        <f>COUNTIF('Team Wise'!K92:K94,"Present")</f>
        <v>0</v>
      </c>
      <c r="L35" s="14"/>
      <c r="M35" s="14"/>
      <c r="N35" s="14"/>
      <c r="O35" s="14"/>
      <c r="P35" s="22" t="str">
        <f t="shared" si="0"/>
        <v/>
      </c>
      <c r="Q35" s="39" t="str">
        <f t="shared" si="1"/>
        <v/>
      </c>
      <c r="R35" s="22" t="str">
        <f t="shared" si="2"/>
        <v/>
      </c>
      <c r="S35" s="37"/>
    </row>
    <row r="36" spans="1:19" ht="44.25" customHeight="1" x14ac:dyDescent="0.35">
      <c r="A36" s="12">
        <v>31</v>
      </c>
      <c r="B36" s="12" t="s">
        <v>273</v>
      </c>
      <c r="C36" s="11" t="s">
        <v>274</v>
      </c>
      <c r="D36" s="11" t="s">
        <v>20</v>
      </c>
      <c r="E36" s="11" t="s">
        <v>1848</v>
      </c>
      <c r="F36" s="11" t="s">
        <v>218</v>
      </c>
      <c r="G36" s="11" t="s">
        <v>42</v>
      </c>
      <c r="H36" s="11" t="s">
        <v>55</v>
      </c>
      <c r="I36" s="35" t="s">
        <v>1849</v>
      </c>
      <c r="J36" s="12">
        <f>COUNTA('Team Wise'!D95:D97)</f>
        <v>3</v>
      </c>
      <c r="K36" s="12">
        <f>COUNTIF('Team Wise'!K95:K97,"Present")</f>
        <v>0</v>
      </c>
      <c r="L36" s="14"/>
      <c r="M36" s="14"/>
      <c r="N36" s="14"/>
      <c r="O36" s="14"/>
      <c r="P36" s="12" t="str">
        <f t="shared" si="0"/>
        <v/>
      </c>
      <c r="Q36" s="36" t="str">
        <f t="shared" si="1"/>
        <v/>
      </c>
      <c r="R36" s="12" t="str">
        <f t="shared" si="2"/>
        <v/>
      </c>
      <c r="S36" s="37"/>
    </row>
    <row r="37" spans="1:19" ht="44.25" customHeight="1" x14ac:dyDescent="0.35">
      <c r="A37" s="22">
        <v>32</v>
      </c>
      <c r="B37" s="22" t="s">
        <v>281</v>
      </c>
      <c r="C37" s="21" t="s">
        <v>282</v>
      </c>
      <c r="D37" s="21" t="s">
        <v>20</v>
      </c>
      <c r="E37" s="21" t="s">
        <v>1850</v>
      </c>
      <c r="F37" s="21" t="s">
        <v>284</v>
      </c>
      <c r="G37" s="21" t="s">
        <v>92</v>
      </c>
      <c r="H37" s="21" t="s">
        <v>1851</v>
      </c>
      <c r="I37" s="38" t="s">
        <v>1852</v>
      </c>
      <c r="J37" s="22">
        <f>COUNTA('Team Wise'!D98:D100)</f>
        <v>3</v>
      </c>
      <c r="K37" s="22">
        <f>COUNTIF('Team Wise'!K98:K100,"Present")</f>
        <v>0</v>
      </c>
      <c r="L37" s="14"/>
      <c r="M37" s="14"/>
      <c r="N37" s="14"/>
      <c r="O37" s="14"/>
      <c r="P37" s="22" t="str">
        <f t="shared" si="0"/>
        <v/>
      </c>
      <c r="Q37" s="39" t="str">
        <f t="shared" si="1"/>
        <v/>
      </c>
      <c r="R37" s="22" t="str">
        <f t="shared" si="2"/>
        <v/>
      </c>
      <c r="S37" s="37"/>
    </row>
    <row r="38" spans="1:19" ht="57.75" customHeight="1" x14ac:dyDescent="0.35">
      <c r="A38" s="12">
        <v>33</v>
      </c>
      <c r="B38" s="12" t="s">
        <v>290</v>
      </c>
      <c r="C38" s="11" t="s">
        <v>291</v>
      </c>
      <c r="D38" s="11" t="s">
        <v>20</v>
      </c>
      <c r="E38" s="11" t="s">
        <v>1853</v>
      </c>
      <c r="F38" s="11" t="s">
        <v>1854</v>
      </c>
      <c r="G38" s="11" t="s">
        <v>1855</v>
      </c>
      <c r="H38" s="11" t="s">
        <v>55</v>
      </c>
      <c r="I38" s="35" t="s">
        <v>1856</v>
      </c>
      <c r="J38" s="12">
        <f>COUNTA('Team Wise'!D101:D103)</f>
        <v>3</v>
      </c>
      <c r="K38" s="12">
        <f>COUNTIF('Team Wise'!K101:K103,"Present")</f>
        <v>0</v>
      </c>
      <c r="L38" s="14"/>
      <c r="M38" s="14"/>
      <c r="N38" s="14"/>
      <c r="O38" s="14"/>
      <c r="P38" s="12" t="str">
        <f t="shared" si="0"/>
        <v/>
      </c>
      <c r="Q38" s="36" t="str">
        <f t="shared" si="1"/>
        <v/>
      </c>
      <c r="R38" s="12" t="str">
        <f t="shared" si="2"/>
        <v/>
      </c>
      <c r="S38" s="37"/>
    </row>
    <row r="39" spans="1:19" ht="44.25" customHeight="1" x14ac:dyDescent="0.35">
      <c r="A39" s="22">
        <v>34</v>
      </c>
      <c r="B39" s="22" t="s">
        <v>302</v>
      </c>
      <c r="C39" s="21" t="s">
        <v>303</v>
      </c>
      <c r="D39" s="21" t="s">
        <v>20</v>
      </c>
      <c r="E39" s="21" t="s">
        <v>1857</v>
      </c>
      <c r="F39" s="21" t="s">
        <v>17</v>
      </c>
      <c r="G39" s="21" t="s">
        <v>92</v>
      </c>
      <c r="H39" s="21" t="s">
        <v>31</v>
      </c>
      <c r="I39" s="38" t="s">
        <v>1858</v>
      </c>
      <c r="J39" s="22">
        <f>COUNTA('Team Wise'!D104:D106)</f>
        <v>3</v>
      </c>
      <c r="K39" s="22">
        <f>COUNTIF('Team Wise'!K104:K106,"Present")</f>
        <v>0</v>
      </c>
      <c r="L39" s="14"/>
      <c r="M39" s="14"/>
      <c r="N39" s="14"/>
      <c r="O39" s="14"/>
      <c r="P39" s="22" t="str">
        <f t="shared" si="0"/>
        <v/>
      </c>
      <c r="Q39" s="39" t="str">
        <f t="shared" si="1"/>
        <v/>
      </c>
      <c r="R39" s="22" t="str">
        <f t="shared" si="2"/>
        <v/>
      </c>
      <c r="S39" s="37"/>
    </row>
    <row r="40" spans="1:19" ht="44.25" customHeight="1" x14ac:dyDescent="0.35">
      <c r="A40" s="12">
        <v>35</v>
      </c>
      <c r="B40" s="12" t="s">
        <v>310</v>
      </c>
      <c r="C40" s="11" t="s">
        <v>303</v>
      </c>
      <c r="D40" s="11" t="s">
        <v>20</v>
      </c>
      <c r="E40" s="11" t="s">
        <v>1859</v>
      </c>
      <c r="F40" s="11" t="s">
        <v>17</v>
      </c>
      <c r="G40" s="11" t="s">
        <v>42</v>
      </c>
      <c r="H40" s="11" t="s">
        <v>55</v>
      </c>
      <c r="I40" s="35" t="s">
        <v>1860</v>
      </c>
      <c r="J40" s="12">
        <f>COUNTA('Team Wise'!D107:D109)</f>
        <v>3</v>
      </c>
      <c r="K40" s="12">
        <f>COUNTIF('Team Wise'!K107:K109,"Present")</f>
        <v>0</v>
      </c>
      <c r="L40" s="14"/>
      <c r="M40" s="14"/>
      <c r="N40" s="14"/>
      <c r="O40" s="14"/>
      <c r="P40" s="12" t="str">
        <f t="shared" si="0"/>
        <v/>
      </c>
      <c r="Q40" s="36" t="str">
        <f t="shared" si="1"/>
        <v/>
      </c>
      <c r="R40" s="12" t="str">
        <f t="shared" si="2"/>
        <v/>
      </c>
      <c r="S40" s="37"/>
    </row>
    <row r="41" spans="1:19" ht="44.25" customHeight="1" x14ac:dyDescent="0.35">
      <c r="A41" s="22">
        <v>36</v>
      </c>
      <c r="B41" s="22" t="s">
        <v>317</v>
      </c>
      <c r="C41" s="21" t="s">
        <v>318</v>
      </c>
      <c r="D41" s="21" t="s">
        <v>20</v>
      </c>
      <c r="E41" s="21" t="s">
        <v>1861</v>
      </c>
      <c r="F41" s="21" t="s">
        <v>1862</v>
      </c>
      <c r="G41" s="21" t="s">
        <v>1863</v>
      </c>
      <c r="H41" s="21" t="s">
        <v>55</v>
      </c>
      <c r="I41" s="38" t="s">
        <v>1864</v>
      </c>
      <c r="J41" s="22">
        <f>COUNTA('Team Wise'!D110:D112)</f>
        <v>3</v>
      </c>
      <c r="K41" s="22">
        <f>COUNTIF('Team Wise'!K110:K112,"Present")</f>
        <v>0</v>
      </c>
      <c r="L41" s="14"/>
      <c r="M41" s="14"/>
      <c r="N41" s="14"/>
      <c r="O41" s="14"/>
      <c r="P41" s="22" t="str">
        <f t="shared" si="0"/>
        <v/>
      </c>
      <c r="Q41" s="39" t="str">
        <f t="shared" si="1"/>
        <v/>
      </c>
      <c r="R41" s="22" t="str">
        <f t="shared" si="2"/>
        <v/>
      </c>
      <c r="S41" s="37"/>
    </row>
    <row r="42" spans="1:19" ht="44.25" customHeight="1" x14ac:dyDescent="0.35">
      <c r="A42" s="12">
        <v>37</v>
      </c>
      <c r="B42" s="12" t="s">
        <v>328</v>
      </c>
      <c r="C42" s="11" t="s">
        <v>329</v>
      </c>
      <c r="D42" s="11" t="s">
        <v>20</v>
      </c>
      <c r="E42" s="11" t="s">
        <v>1865</v>
      </c>
      <c r="F42" s="11" t="s">
        <v>17</v>
      </c>
      <c r="G42" s="11" t="s">
        <v>92</v>
      </c>
      <c r="H42" s="11" t="s">
        <v>31</v>
      </c>
      <c r="I42" s="35" t="s">
        <v>1866</v>
      </c>
      <c r="J42" s="12">
        <f>COUNTA('Team Wise'!D113:D115)</f>
        <v>3</v>
      </c>
      <c r="K42" s="12">
        <f>COUNTIF('Team Wise'!K113:K115,"Present")</f>
        <v>0</v>
      </c>
      <c r="L42" s="14"/>
      <c r="M42" s="14"/>
      <c r="N42" s="14"/>
      <c r="O42" s="14"/>
      <c r="P42" s="12" t="str">
        <f t="shared" si="0"/>
        <v/>
      </c>
      <c r="Q42" s="36" t="str">
        <f t="shared" si="1"/>
        <v/>
      </c>
      <c r="R42" s="12" t="str">
        <f t="shared" si="2"/>
        <v/>
      </c>
      <c r="S42" s="37"/>
    </row>
    <row r="43" spans="1:19" ht="44.25" customHeight="1" x14ac:dyDescent="0.35">
      <c r="A43" s="22">
        <v>38</v>
      </c>
      <c r="B43" s="22" t="s">
        <v>336</v>
      </c>
      <c r="C43" s="21" t="s">
        <v>337</v>
      </c>
      <c r="D43" s="21" t="s">
        <v>20</v>
      </c>
      <c r="E43" s="21" t="s">
        <v>1867</v>
      </c>
      <c r="F43" s="21" t="s">
        <v>17</v>
      </c>
      <c r="G43" s="21" t="s">
        <v>30</v>
      </c>
      <c r="H43" s="21" t="s">
        <v>55</v>
      </c>
      <c r="I43" s="38" t="s">
        <v>1868</v>
      </c>
      <c r="J43" s="22">
        <f>COUNTA('Team Wise'!D116:D118)</f>
        <v>3</v>
      </c>
      <c r="K43" s="22">
        <f>COUNTIF('Team Wise'!K116:K118,"Present")</f>
        <v>0</v>
      </c>
      <c r="L43" s="14"/>
      <c r="M43" s="14"/>
      <c r="N43" s="14"/>
      <c r="O43" s="14"/>
      <c r="P43" s="22" t="str">
        <f t="shared" si="0"/>
        <v/>
      </c>
      <c r="Q43" s="39" t="str">
        <f t="shared" si="1"/>
        <v/>
      </c>
      <c r="R43" s="22" t="str">
        <f t="shared" si="2"/>
        <v/>
      </c>
      <c r="S43" s="37"/>
    </row>
    <row r="44" spans="1:19" ht="44.25" customHeight="1" x14ac:dyDescent="0.35">
      <c r="A44" s="12">
        <v>39</v>
      </c>
      <c r="B44" s="12" t="s">
        <v>344</v>
      </c>
      <c r="C44" s="11" t="s">
        <v>345</v>
      </c>
      <c r="D44" s="11" t="s">
        <v>20</v>
      </c>
      <c r="E44" s="11" t="s">
        <v>1869</v>
      </c>
      <c r="F44" s="11" t="s">
        <v>234</v>
      </c>
      <c r="G44" s="11" t="s">
        <v>1870</v>
      </c>
      <c r="H44" s="11" t="s">
        <v>55</v>
      </c>
      <c r="I44" s="35" t="s">
        <v>1871</v>
      </c>
      <c r="J44" s="12">
        <f>COUNTA('Team Wise'!D119:D121)</f>
        <v>3</v>
      </c>
      <c r="K44" s="12">
        <f>COUNTIF('Team Wise'!K119:K121,"Present")</f>
        <v>0</v>
      </c>
      <c r="L44" s="14"/>
      <c r="M44" s="14"/>
      <c r="N44" s="14"/>
      <c r="O44" s="14"/>
      <c r="P44" s="12" t="str">
        <f t="shared" si="0"/>
        <v/>
      </c>
      <c r="Q44" s="36" t="str">
        <f t="shared" si="1"/>
        <v/>
      </c>
      <c r="R44" s="12" t="str">
        <f t="shared" si="2"/>
        <v/>
      </c>
      <c r="S44" s="37"/>
    </row>
    <row r="45" spans="1:19" ht="44.25" customHeight="1" x14ac:dyDescent="0.35">
      <c r="A45" s="22">
        <v>40</v>
      </c>
      <c r="B45" s="22" t="s">
        <v>352</v>
      </c>
      <c r="C45" s="21" t="s">
        <v>353</v>
      </c>
      <c r="D45" s="21" t="s">
        <v>20</v>
      </c>
      <c r="E45" s="21" t="s">
        <v>1872</v>
      </c>
      <c r="F45" s="21" t="s">
        <v>17</v>
      </c>
      <c r="G45" s="21" t="s">
        <v>18</v>
      </c>
      <c r="H45" s="21" t="s">
        <v>55</v>
      </c>
      <c r="I45" s="38" t="s">
        <v>1873</v>
      </c>
      <c r="J45" s="22">
        <f>COUNTA('Team Wise'!D122:D124)</f>
        <v>3</v>
      </c>
      <c r="K45" s="22">
        <f>COUNTIF('Team Wise'!K122:K124,"Present")</f>
        <v>0</v>
      </c>
      <c r="L45" s="14"/>
      <c r="M45" s="14"/>
      <c r="N45" s="14"/>
      <c r="O45" s="14"/>
      <c r="P45" s="22" t="str">
        <f t="shared" si="0"/>
        <v/>
      </c>
      <c r="Q45" s="39" t="str">
        <f t="shared" si="1"/>
        <v/>
      </c>
      <c r="R45" s="22" t="str">
        <f t="shared" si="2"/>
        <v/>
      </c>
      <c r="S45" s="37"/>
    </row>
    <row r="46" spans="1:19" ht="44.25" customHeight="1" x14ac:dyDescent="0.35">
      <c r="A46" s="12">
        <v>41</v>
      </c>
      <c r="B46" s="12" t="s">
        <v>360</v>
      </c>
      <c r="C46" s="11" t="s">
        <v>361</v>
      </c>
      <c r="D46" s="11" t="s">
        <v>20</v>
      </c>
      <c r="E46" s="11" t="s">
        <v>1874</v>
      </c>
      <c r="F46" s="11" t="s">
        <v>17</v>
      </c>
      <c r="G46" s="11" t="s">
        <v>42</v>
      </c>
      <c r="H46" s="11" t="s">
        <v>31</v>
      </c>
      <c r="I46" s="35" t="s">
        <v>1875</v>
      </c>
      <c r="J46" s="12">
        <f>COUNTA('Team Wise'!D125:D127)</f>
        <v>3</v>
      </c>
      <c r="K46" s="12">
        <f>COUNTIF('Team Wise'!K125:K127,"Present")</f>
        <v>0</v>
      </c>
      <c r="L46" s="14"/>
      <c r="M46" s="14"/>
      <c r="N46" s="14"/>
      <c r="O46" s="14"/>
      <c r="P46" s="12" t="str">
        <f t="shared" si="0"/>
        <v/>
      </c>
      <c r="Q46" s="36" t="str">
        <f t="shared" si="1"/>
        <v/>
      </c>
      <c r="R46" s="12" t="str">
        <f t="shared" si="2"/>
        <v/>
      </c>
      <c r="S46" s="37"/>
    </row>
    <row r="47" spans="1:19" ht="44.25" customHeight="1" x14ac:dyDescent="0.35">
      <c r="A47" s="22">
        <v>42</v>
      </c>
      <c r="B47" s="22" t="s">
        <v>368</v>
      </c>
      <c r="C47" s="21" t="s">
        <v>369</v>
      </c>
      <c r="D47" s="21" t="s">
        <v>20</v>
      </c>
      <c r="E47" s="21" t="s">
        <v>1876</v>
      </c>
      <c r="F47" s="21" t="s">
        <v>371</v>
      </c>
      <c r="G47" s="21" t="s">
        <v>92</v>
      </c>
      <c r="H47" s="21" t="s">
        <v>31</v>
      </c>
      <c r="I47" s="38" t="s">
        <v>1877</v>
      </c>
      <c r="J47" s="22">
        <f>COUNTA('Team Wise'!D128:D130)</f>
        <v>3</v>
      </c>
      <c r="K47" s="22">
        <f>COUNTIF('Team Wise'!K128:K130,"Present")</f>
        <v>0</v>
      </c>
      <c r="L47" s="14"/>
      <c r="M47" s="14"/>
      <c r="N47" s="14"/>
      <c r="O47" s="14"/>
      <c r="P47" s="22" t="str">
        <f t="shared" si="0"/>
        <v/>
      </c>
      <c r="Q47" s="39" t="str">
        <f t="shared" si="1"/>
        <v/>
      </c>
      <c r="R47" s="22" t="str">
        <f t="shared" si="2"/>
        <v/>
      </c>
      <c r="S47" s="37"/>
    </row>
    <row r="48" spans="1:19" ht="44.25" customHeight="1" x14ac:dyDescent="0.35">
      <c r="A48" s="12">
        <v>43</v>
      </c>
      <c r="B48" s="12" t="s">
        <v>377</v>
      </c>
      <c r="C48" s="11" t="s">
        <v>378</v>
      </c>
      <c r="D48" s="11" t="s">
        <v>20</v>
      </c>
      <c r="E48" s="11" t="s">
        <v>1878</v>
      </c>
      <c r="F48" s="11" t="s">
        <v>380</v>
      </c>
      <c r="G48" s="11" t="s">
        <v>30</v>
      </c>
      <c r="H48" s="11" t="s">
        <v>31</v>
      </c>
      <c r="I48" s="35" t="s">
        <v>1879</v>
      </c>
      <c r="J48" s="12">
        <f>COUNTA('Team Wise'!D131:D133)</f>
        <v>3</v>
      </c>
      <c r="K48" s="12">
        <f>COUNTIF('Team Wise'!K131:K133,"Present")</f>
        <v>0</v>
      </c>
      <c r="L48" s="14"/>
      <c r="M48" s="14"/>
      <c r="N48" s="14"/>
      <c r="O48" s="14"/>
      <c r="P48" s="12" t="str">
        <f t="shared" si="0"/>
        <v/>
      </c>
      <c r="Q48" s="36" t="str">
        <f t="shared" si="1"/>
        <v/>
      </c>
      <c r="R48" s="12" t="str">
        <f t="shared" si="2"/>
        <v/>
      </c>
      <c r="S48" s="37"/>
    </row>
    <row r="49" spans="1:19" ht="44.25" customHeight="1" x14ac:dyDescent="0.35">
      <c r="A49" s="22">
        <v>44</v>
      </c>
      <c r="B49" s="22" t="s">
        <v>386</v>
      </c>
      <c r="C49" s="21" t="s">
        <v>387</v>
      </c>
      <c r="D49" s="21" t="s">
        <v>20</v>
      </c>
      <c r="E49" s="21" t="s">
        <v>1880</v>
      </c>
      <c r="F49" s="21" t="s">
        <v>17</v>
      </c>
      <c r="G49" s="21" t="s">
        <v>92</v>
      </c>
      <c r="H49" s="21" t="s">
        <v>55</v>
      </c>
      <c r="I49" s="38" t="s">
        <v>1881</v>
      </c>
      <c r="J49" s="22">
        <f>COUNTA('Team Wise'!D134:D136)</f>
        <v>3</v>
      </c>
      <c r="K49" s="22">
        <f>COUNTIF('Team Wise'!K134:K136,"Present")</f>
        <v>0</v>
      </c>
      <c r="L49" s="14"/>
      <c r="M49" s="14"/>
      <c r="N49" s="14"/>
      <c r="O49" s="14"/>
      <c r="P49" s="22" t="str">
        <f t="shared" si="0"/>
        <v/>
      </c>
      <c r="Q49" s="39" t="str">
        <f t="shared" si="1"/>
        <v/>
      </c>
      <c r="R49" s="22" t="str">
        <f t="shared" si="2"/>
        <v/>
      </c>
      <c r="S49" s="37"/>
    </row>
    <row r="50" spans="1:19" ht="44.25" customHeight="1" x14ac:dyDescent="0.35">
      <c r="A50" s="12">
        <v>45</v>
      </c>
      <c r="B50" s="12" t="s">
        <v>394</v>
      </c>
      <c r="C50" s="11" t="s">
        <v>395</v>
      </c>
      <c r="D50" s="11" t="s">
        <v>20</v>
      </c>
      <c r="E50" s="11" t="s">
        <v>1882</v>
      </c>
      <c r="F50" s="11" t="s">
        <v>371</v>
      </c>
      <c r="G50" s="11" t="s">
        <v>92</v>
      </c>
      <c r="H50" s="11" t="s">
        <v>31</v>
      </c>
      <c r="I50" s="35" t="s">
        <v>1883</v>
      </c>
      <c r="J50" s="12">
        <f>COUNTA('Team Wise'!D137:D139)</f>
        <v>3</v>
      </c>
      <c r="K50" s="12">
        <f>COUNTIF('Team Wise'!K137:K139,"Present")</f>
        <v>0</v>
      </c>
      <c r="L50" s="14"/>
      <c r="M50" s="14"/>
      <c r="N50" s="14"/>
      <c r="O50" s="14"/>
      <c r="P50" s="12" t="str">
        <f t="shared" si="0"/>
        <v/>
      </c>
      <c r="Q50" s="36" t="str">
        <f t="shared" si="1"/>
        <v/>
      </c>
      <c r="R50" s="12" t="str">
        <f t="shared" si="2"/>
        <v/>
      </c>
      <c r="S50" s="37"/>
    </row>
    <row r="51" spans="1:19" ht="44.25" customHeight="1" x14ac:dyDescent="0.35">
      <c r="A51" s="22">
        <v>46</v>
      </c>
      <c r="B51" s="22" t="s">
        <v>402</v>
      </c>
      <c r="C51" s="21" t="s">
        <v>403</v>
      </c>
      <c r="D51" s="21" t="s">
        <v>20</v>
      </c>
      <c r="E51" s="21" t="s">
        <v>1884</v>
      </c>
      <c r="F51" s="21" t="s">
        <v>17</v>
      </c>
      <c r="G51" s="21" t="s">
        <v>30</v>
      </c>
      <c r="H51" s="21" t="s">
        <v>31</v>
      </c>
      <c r="I51" s="38" t="s">
        <v>1885</v>
      </c>
      <c r="J51" s="22">
        <f>COUNTA('Team Wise'!D140:D142)</f>
        <v>3</v>
      </c>
      <c r="K51" s="22">
        <f>COUNTIF('Team Wise'!K140:K142,"Present")</f>
        <v>0</v>
      </c>
      <c r="L51" s="14"/>
      <c r="M51" s="14"/>
      <c r="N51" s="14"/>
      <c r="O51" s="14"/>
      <c r="P51" s="22" t="str">
        <f t="shared" si="0"/>
        <v/>
      </c>
      <c r="Q51" s="39" t="str">
        <f t="shared" si="1"/>
        <v/>
      </c>
      <c r="R51" s="22" t="str">
        <f t="shared" si="2"/>
        <v/>
      </c>
      <c r="S51" s="37"/>
    </row>
    <row r="52" spans="1:19" ht="84.75" customHeight="1" x14ac:dyDescent="0.35">
      <c r="A52" s="12">
        <v>47</v>
      </c>
      <c r="B52" s="12" t="s">
        <v>410</v>
      </c>
      <c r="C52" s="11" t="s">
        <v>411</v>
      </c>
      <c r="D52" s="11" t="s">
        <v>20</v>
      </c>
      <c r="E52" s="11" t="s">
        <v>1886</v>
      </c>
      <c r="F52" s="11" t="s">
        <v>1887</v>
      </c>
      <c r="G52" s="11" t="s">
        <v>1888</v>
      </c>
      <c r="H52" s="11" t="s">
        <v>31</v>
      </c>
      <c r="I52" s="35" t="s">
        <v>1889</v>
      </c>
      <c r="J52" s="12">
        <f>COUNTA('Team Wise'!D143:D145)</f>
        <v>3</v>
      </c>
      <c r="K52" s="12">
        <f>COUNTIF('Team Wise'!K143:K145,"Present")</f>
        <v>0</v>
      </c>
      <c r="L52" s="14"/>
      <c r="M52" s="14"/>
      <c r="N52" s="14"/>
      <c r="O52" s="14"/>
      <c r="P52" s="12" t="str">
        <f t="shared" si="0"/>
        <v/>
      </c>
      <c r="Q52" s="36" t="str">
        <f t="shared" si="1"/>
        <v/>
      </c>
      <c r="R52" s="12" t="str">
        <f t="shared" si="2"/>
        <v/>
      </c>
      <c r="S52" s="37"/>
    </row>
    <row r="53" spans="1:19" ht="44.25" customHeight="1" x14ac:dyDescent="0.35">
      <c r="A53" s="22">
        <v>48</v>
      </c>
      <c r="B53" s="22" t="s">
        <v>419</v>
      </c>
      <c r="C53" s="21" t="s">
        <v>420</v>
      </c>
      <c r="D53" s="21" t="s">
        <v>20</v>
      </c>
      <c r="E53" s="21" t="s">
        <v>1890</v>
      </c>
      <c r="F53" s="21" t="s">
        <v>17</v>
      </c>
      <c r="G53" s="21" t="s">
        <v>92</v>
      </c>
      <c r="H53" s="21" t="s">
        <v>55</v>
      </c>
      <c r="I53" s="38" t="s">
        <v>1891</v>
      </c>
      <c r="J53" s="22">
        <f>COUNTA('Team Wise'!D146:D148)</f>
        <v>3</v>
      </c>
      <c r="K53" s="22">
        <f>COUNTIF('Team Wise'!K146:K148,"Present")</f>
        <v>0</v>
      </c>
      <c r="L53" s="14"/>
      <c r="M53" s="14"/>
      <c r="N53" s="14"/>
      <c r="O53" s="14"/>
      <c r="P53" s="22" t="str">
        <f t="shared" si="0"/>
        <v/>
      </c>
      <c r="Q53" s="39" t="str">
        <f t="shared" si="1"/>
        <v/>
      </c>
      <c r="R53" s="22" t="str">
        <f t="shared" si="2"/>
        <v/>
      </c>
      <c r="S53" s="37"/>
    </row>
    <row r="54" spans="1:19" ht="44.25" customHeight="1" x14ac:dyDescent="0.35">
      <c r="A54" s="12">
        <v>49</v>
      </c>
      <c r="B54" s="12" t="s">
        <v>427</v>
      </c>
      <c r="C54" s="11" t="s">
        <v>428</v>
      </c>
      <c r="D54" s="11" t="s">
        <v>20</v>
      </c>
      <c r="E54" s="11" t="s">
        <v>1892</v>
      </c>
      <c r="F54" s="11" t="s">
        <v>133</v>
      </c>
      <c r="G54" s="11" t="s">
        <v>92</v>
      </c>
      <c r="H54" s="11" t="s">
        <v>55</v>
      </c>
      <c r="I54" s="35" t="s">
        <v>1893</v>
      </c>
      <c r="J54" s="12">
        <f>COUNTA('Team Wise'!D149:D151)</f>
        <v>3</v>
      </c>
      <c r="K54" s="12">
        <f>COUNTIF('Team Wise'!K149:K151,"Present")</f>
        <v>0</v>
      </c>
      <c r="L54" s="14"/>
      <c r="M54" s="14"/>
      <c r="N54" s="14"/>
      <c r="O54" s="14"/>
      <c r="P54" s="12" t="str">
        <f t="shared" si="0"/>
        <v/>
      </c>
      <c r="Q54" s="36" t="str">
        <f t="shared" si="1"/>
        <v/>
      </c>
      <c r="R54" s="12" t="str">
        <f t="shared" si="2"/>
        <v/>
      </c>
      <c r="S54" s="37"/>
    </row>
    <row r="55" spans="1:19" ht="44.25" customHeight="1" x14ac:dyDescent="0.35">
      <c r="A55" s="22">
        <v>50</v>
      </c>
      <c r="B55" s="22" t="s">
        <v>435</v>
      </c>
      <c r="C55" s="21" t="s">
        <v>436</v>
      </c>
      <c r="D55" s="21" t="s">
        <v>20</v>
      </c>
      <c r="E55" s="21" t="s">
        <v>1894</v>
      </c>
      <c r="F55" s="21" t="s">
        <v>438</v>
      </c>
      <c r="G55" s="21" t="s">
        <v>92</v>
      </c>
      <c r="H55" s="21" t="s">
        <v>19</v>
      </c>
      <c r="I55" s="38" t="s">
        <v>1895</v>
      </c>
      <c r="J55" s="22">
        <f>COUNTA('Team Wise'!D152:D154)</f>
        <v>3</v>
      </c>
      <c r="K55" s="22">
        <f>COUNTIF('Team Wise'!K152:K154,"Present")</f>
        <v>0</v>
      </c>
      <c r="L55" s="14"/>
      <c r="M55" s="14"/>
      <c r="N55" s="14"/>
      <c r="O55" s="14"/>
      <c r="P55" s="22" t="str">
        <f t="shared" si="0"/>
        <v/>
      </c>
      <c r="Q55" s="39" t="str">
        <f t="shared" si="1"/>
        <v/>
      </c>
      <c r="R55" s="22" t="str">
        <f t="shared" si="2"/>
        <v/>
      </c>
      <c r="S55" s="37"/>
    </row>
    <row r="56" spans="1:19" ht="44.25" customHeight="1" x14ac:dyDescent="0.35">
      <c r="A56" s="12">
        <v>51</v>
      </c>
      <c r="B56" s="12" t="s">
        <v>444</v>
      </c>
      <c r="C56" s="11" t="s">
        <v>445</v>
      </c>
      <c r="D56" s="11" t="s">
        <v>20</v>
      </c>
      <c r="E56" s="11" t="s">
        <v>1896</v>
      </c>
      <c r="F56" s="11" t="s">
        <v>17</v>
      </c>
      <c r="G56" s="11" t="s">
        <v>42</v>
      </c>
      <c r="H56" s="11" t="s">
        <v>31</v>
      </c>
      <c r="I56" s="35" t="s">
        <v>1897</v>
      </c>
      <c r="J56" s="12">
        <f>COUNTA('Team Wise'!D155:D157)</f>
        <v>3</v>
      </c>
      <c r="K56" s="12">
        <f>COUNTIF('Team Wise'!K155:K157,"Present")</f>
        <v>0</v>
      </c>
      <c r="L56" s="14"/>
      <c r="M56" s="14"/>
      <c r="N56" s="14"/>
      <c r="O56" s="14"/>
      <c r="P56" s="12" t="str">
        <f t="shared" si="0"/>
        <v/>
      </c>
      <c r="Q56" s="36" t="str">
        <f t="shared" si="1"/>
        <v/>
      </c>
      <c r="R56" s="12" t="str">
        <f t="shared" si="2"/>
        <v/>
      </c>
      <c r="S56" s="37"/>
    </row>
    <row r="57" spans="1:19" ht="44.25" customHeight="1" x14ac:dyDescent="0.35">
      <c r="A57" s="22">
        <v>52</v>
      </c>
      <c r="B57" s="22" t="s">
        <v>452</v>
      </c>
      <c r="C57" s="21" t="s">
        <v>453</v>
      </c>
      <c r="D57" s="21" t="s">
        <v>20</v>
      </c>
      <c r="E57" s="21" t="s">
        <v>1898</v>
      </c>
      <c r="F57" s="21" t="s">
        <v>17</v>
      </c>
      <c r="G57" s="21" t="s">
        <v>1899</v>
      </c>
      <c r="H57" s="21" t="s">
        <v>31</v>
      </c>
      <c r="I57" s="38" t="s">
        <v>1900</v>
      </c>
      <c r="J57" s="22">
        <f>COUNTA('Team Wise'!D158:D160)</f>
        <v>3</v>
      </c>
      <c r="K57" s="22">
        <f>COUNTIF('Team Wise'!K158:K160,"Present")</f>
        <v>0</v>
      </c>
      <c r="L57" s="14"/>
      <c r="M57" s="14"/>
      <c r="N57" s="14"/>
      <c r="O57" s="14"/>
      <c r="P57" s="22" t="str">
        <f t="shared" si="0"/>
        <v/>
      </c>
      <c r="Q57" s="39" t="str">
        <f t="shared" si="1"/>
        <v/>
      </c>
      <c r="R57" s="22" t="str">
        <f t="shared" si="2"/>
        <v/>
      </c>
      <c r="S57" s="37"/>
    </row>
    <row r="58" spans="1:19" ht="44.25" customHeight="1" x14ac:dyDescent="0.35">
      <c r="A58" s="12">
        <v>53</v>
      </c>
      <c r="B58" s="12" t="s">
        <v>460</v>
      </c>
      <c r="C58" s="11" t="s">
        <v>461</v>
      </c>
      <c r="D58" s="11" t="s">
        <v>20</v>
      </c>
      <c r="E58" s="11" t="s">
        <v>1901</v>
      </c>
      <c r="F58" s="11" t="s">
        <v>17</v>
      </c>
      <c r="G58" s="11" t="s">
        <v>18</v>
      </c>
      <c r="H58" s="11" t="s">
        <v>19</v>
      </c>
      <c r="I58" s="35" t="s">
        <v>1902</v>
      </c>
      <c r="J58" s="12">
        <f>COUNTA('Team Wise'!D161:D163)</f>
        <v>3</v>
      </c>
      <c r="K58" s="12">
        <f>COUNTIF('Team Wise'!K161:K163,"Present")</f>
        <v>0</v>
      </c>
      <c r="L58" s="14"/>
      <c r="M58" s="14"/>
      <c r="N58" s="14"/>
      <c r="O58" s="14"/>
      <c r="P58" s="12" t="str">
        <f t="shared" si="0"/>
        <v/>
      </c>
      <c r="Q58" s="36" t="str">
        <f t="shared" si="1"/>
        <v/>
      </c>
      <c r="R58" s="12" t="str">
        <f t="shared" si="2"/>
        <v/>
      </c>
      <c r="S58" s="37"/>
    </row>
    <row r="59" spans="1:19" ht="44.25" customHeight="1" x14ac:dyDescent="0.35">
      <c r="A59" s="22">
        <v>54</v>
      </c>
      <c r="B59" s="22" t="s">
        <v>468</v>
      </c>
      <c r="C59" s="21" t="s">
        <v>469</v>
      </c>
      <c r="D59" s="21" t="s">
        <v>20</v>
      </c>
      <c r="E59" s="21" t="s">
        <v>1903</v>
      </c>
      <c r="F59" s="21" t="s">
        <v>17</v>
      </c>
      <c r="G59" s="21" t="s">
        <v>1904</v>
      </c>
      <c r="H59" s="21" t="s">
        <v>55</v>
      </c>
      <c r="I59" s="38" t="s">
        <v>1905</v>
      </c>
      <c r="J59" s="22">
        <f>COUNTA('Team Wise'!D164:D166)</f>
        <v>3</v>
      </c>
      <c r="K59" s="22">
        <f>COUNTIF('Team Wise'!K164:K166,"Present")</f>
        <v>0</v>
      </c>
      <c r="L59" s="14"/>
      <c r="M59" s="14"/>
      <c r="N59" s="14"/>
      <c r="O59" s="14"/>
      <c r="P59" s="22" t="str">
        <f t="shared" si="0"/>
        <v/>
      </c>
      <c r="Q59" s="39" t="str">
        <f t="shared" si="1"/>
        <v/>
      </c>
      <c r="R59" s="22" t="str">
        <f t="shared" si="2"/>
        <v/>
      </c>
      <c r="S59" s="37"/>
    </row>
    <row r="60" spans="1:19" ht="44.25" customHeight="1" x14ac:dyDescent="0.35">
      <c r="A60" s="12">
        <v>55</v>
      </c>
      <c r="B60" s="12" t="s">
        <v>476</v>
      </c>
      <c r="C60" s="11" t="s">
        <v>477</v>
      </c>
      <c r="D60" s="11" t="s">
        <v>20</v>
      </c>
      <c r="E60" s="11" t="s">
        <v>1906</v>
      </c>
      <c r="F60" s="11" t="s">
        <v>17</v>
      </c>
      <c r="G60" s="11" t="s">
        <v>92</v>
      </c>
      <c r="H60" s="11" t="s">
        <v>55</v>
      </c>
      <c r="I60" s="35" t="s">
        <v>1907</v>
      </c>
      <c r="J60" s="12">
        <f>COUNTA('Team Wise'!D167:D169)</f>
        <v>3</v>
      </c>
      <c r="K60" s="12">
        <f>COUNTIF('Team Wise'!K167:K169,"Present")</f>
        <v>0</v>
      </c>
      <c r="L60" s="14"/>
      <c r="M60" s="14"/>
      <c r="N60" s="14"/>
      <c r="O60" s="14"/>
      <c r="P60" s="12" t="str">
        <f t="shared" si="0"/>
        <v/>
      </c>
      <c r="Q60" s="36" t="str">
        <f t="shared" si="1"/>
        <v/>
      </c>
      <c r="R60" s="12" t="str">
        <f t="shared" si="2"/>
        <v/>
      </c>
      <c r="S60" s="37"/>
    </row>
    <row r="61" spans="1:19" ht="44.25" customHeight="1" x14ac:dyDescent="0.35">
      <c r="A61" s="22">
        <v>56</v>
      </c>
      <c r="B61" s="22" t="s">
        <v>484</v>
      </c>
      <c r="C61" s="21" t="s">
        <v>485</v>
      </c>
      <c r="D61" s="21" t="s">
        <v>20</v>
      </c>
      <c r="E61" s="21" t="s">
        <v>1908</v>
      </c>
      <c r="F61" s="21" t="s">
        <v>284</v>
      </c>
      <c r="G61" s="21" t="s">
        <v>92</v>
      </c>
      <c r="H61" s="21" t="s">
        <v>31</v>
      </c>
      <c r="I61" s="38" t="s">
        <v>1909</v>
      </c>
      <c r="J61" s="22">
        <f>COUNTA('Team Wise'!D170:D172)</f>
        <v>3</v>
      </c>
      <c r="K61" s="22">
        <f>COUNTIF('Team Wise'!K170:K172,"Present")</f>
        <v>0</v>
      </c>
      <c r="L61" s="14"/>
      <c r="M61" s="14"/>
      <c r="N61" s="14"/>
      <c r="O61" s="14"/>
      <c r="P61" s="22" t="str">
        <f t="shared" si="0"/>
        <v/>
      </c>
      <c r="Q61" s="39" t="str">
        <f t="shared" si="1"/>
        <v/>
      </c>
      <c r="R61" s="22" t="str">
        <f t="shared" si="2"/>
        <v/>
      </c>
      <c r="S61" s="37"/>
    </row>
    <row r="62" spans="1:19" ht="71.25" customHeight="1" x14ac:dyDescent="0.35">
      <c r="A62" s="12">
        <v>57</v>
      </c>
      <c r="B62" s="12" t="s">
        <v>492</v>
      </c>
      <c r="C62" s="11" t="s">
        <v>493</v>
      </c>
      <c r="D62" s="11" t="s">
        <v>20</v>
      </c>
      <c r="E62" s="11" t="s">
        <v>1910</v>
      </c>
      <c r="F62" s="11" t="s">
        <v>1911</v>
      </c>
      <c r="G62" s="11" t="s">
        <v>42</v>
      </c>
      <c r="H62" s="11" t="s">
        <v>1912</v>
      </c>
      <c r="I62" s="35" t="s">
        <v>1913</v>
      </c>
      <c r="J62" s="12">
        <f>COUNTA('Team Wise'!D173:D175)</f>
        <v>3</v>
      </c>
      <c r="K62" s="12">
        <f>COUNTIF('Team Wise'!K173:K175,"Present")</f>
        <v>0</v>
      </c>
      <c r="L62" s="14"/>
      <c r="M62" s="14"/>
      <c r="N62" s="14"/>
      <c r="O62" s="14"/>
      <c r="P62" s="12" t="str">
        <f t="shared" si="0"/>
        <v/>
      </c>
      <c r="Q62" s="36" t="str">
        <f t="shared" si="1"/>
        <v/>
      </c>
      <c r="R62" s="12" t="str">
        <f t="shared" si="2"/>
        <v/>
      </c>
      <c r="S62" s="37"/>
    </row>
    <row r="63" spans="1:19" ht="44.25" customHeight="1" x14ac:dyDescent="0.35">
      <c r="A63" s="22">
        <v>58</v>
      </c>
      <c r="B63" s="22" t="s">
        <v>501</v>
      </c>
      <c r="C63" s="21" t="s">
        <v>502</v>
      </c>
      <c r="D63" s="21" t="s">
        <v>20</v>
      </c>
      <c r="E63" s="21" t="s">
        <v>1914</v>
      </c>
      <c r="F63" s="21" t="s">
        <v>17</v>
      </c>
      <c r="G63" s="21" t="s">
        <v>92</v>
      </c>
      <c r="H63" s="21" t="s">
        <v>55</v>
      </c>
      <c r="I63" s="38" t="s">
        <v>1915</v>
      </c>
      <c r="J63" s="22">
        <f>COUNTA('Team Wise'!D176:D178)</f>
        <v>3</v>
      </c>
      <c r="K63" s="22">
        <f>COUNTIF('Team Wise'!K176:K178,"Present")</f>
        <v>0</v>
      </c>
      <c r="L63" s="14"/>
      <c r="M63" s="14"/>
      <c r="N63" s="14"/>
      <c r="O63" s="14"/>
      <c r="P63" s="22" t="str">
        <f t="shared" si="0"/>
        <v/>
      </c>
      <c r="Q63" s="39" t="str">
        <f t="shared" si="1"/>
        <v/>
      </c>
      <c r="R63" s="22" t="str">
        <f t="shared" si="2"/>
        <v/>
      </c>
      <c r="S63" s="37"/>
    </row>
    <row r="64" spans="1:19" ht="44.25" customHeight="1" x14ac:dyDescent="0.35">
      <c r="A64" s="12">
        <v>59</v>
      </c>
      <c r="B64" s="12" t="s">
        <v>509</v>
      </c>
      <c r="C64" s="11" t="s">
        <v>510</v>
      </c>
      <c r="D64" s="11" t="s">
        <v>20</v>
      </c>
      <c r="E64" s="11" t="s">
        <v>1916</v>
      </c>
      <c r="F64" s="11" t="s">
        <v>512</v>
      </c>
      <c r="G64" s="11" t="s">
        <v>1917</v>
      </c>
      <c r="H64" s="11" t="s">
        <v>55</v>
      </c>
      <c r="I64" s="35" t="s">
        <v>1918</v>
      </c>
      <c r="J64" s="12">
        <f>COUNTA('Team Wise'!D179:D181)</f>
        <v>3</v>
      </c>
      <c r="K64" s="12">
        <f>COUNTIF('Team Wise'!K179:K181,"Present")</f>
        <v>0</v>
      </c>
      <c r="L64" s="14"/>
      <c r="M64" s="14"/>
      <c r="N64" s="14"/>
      <c r="O64" s="14"/>
      <c r="P64" s="12" t="str">
        <f t="shared" si="0"/>
        <v/>
      </c>
      <c r="Q64" s="36" t="str">
        <f t="shared" si="1"/>
        <v/>
      </c>
      <c r="R64" s="12" t="str">
        <f t="shared" si="2"/>
        <v/>
      </c>
      <c r="S64" s="37"/>
    </row>
    <row r="65" spans="1:19" ht="44.25" customHeight="1" x14ac:dyDescent="0.35">
      <c r="A65" s="22">
        <v>60</v>
      </c>
      <c r="B65" s="22" t="s">
        <v>518</v>
      </c>
      <c r="C65" s="21" t="s">
        <v>519</v>
      </c>
      <c r="D65" s="21" t="s">
        <v>20</v>
      </c>
      <c r="E65" s="21" t="s">
        <v>1919</v>
      </c>
      <c r="F65" s="21" t="s">
        <v>167</v>
      </c>
      <c r="G65" s="21" t="s">
        <v>92</v>
      </c>
      <c r="H65" s="21" t="s">
        <v>55</v>
      </c>
      <c r="I65" s="38" t="s">
        <v>1920</v>
      </c>
      <c r="J65" s="22">
        <f>COUNTA('Team Wise'!D182:D184)</f>
        <v>3</v>
      </c>
      <c r="K65" s="22">
        <f>COUNTIF('Team Wise'!K182:K184,"Present")</f>
        <v>0</v>
      </c>
      <c r="L65" s="14"/>
      <c r="M65" s="14"/>
      <c r="N65" s="14"/>
      <c r="O65" s="14"/>
      <c r="P65" s="22" t="str">
        <f t="shared" si="0"/>
        <v/>
      </c>
      <c r="Q65" s="39" t="str">
        <f t="shared" si="1"/>
        <v/>
      </c>
      <c r="R65" s="22" t="str">
        <f t="shared" si="2"/>
        <v/>
      </c>
      <c r="S65" s="37"/>
    </row>
    <row r="66" spans="1:19" ht="44.25" customHeight="1" x14ac:dyDescent="0.35">
      <c r="A66" s="12">
        <v>61</v>
      </c>
      <c r="B66" s="12" t="s">
        <v>526</v>
      </c>
      <c r="C66" s="11" t="s">
        <v>527</v>
      </c>
      <c r="D66" s="11" t="s">
        <v>20</v>
      </c>
      <c r="E66" s="11" t="s">
        <v>1921</v>
      </c>
      <c r="F66" s="11" t="s">
        <v>167</v>
      </c>
      <c r="G66" s="11" t="s">
        <v>30</v>
      </c>
      <c r="H66" s="11" t="s">
        <v>31</v>
      </c>
      <c r="I66" s="35" t="s">
        <v>1922</v>
      </c>
      <c r="J66" s="12">
        <f>COUNTA('Team Wise'!D185:D187)</f>
        <v>3</v>
      </c>
      <c r="K66" s="12">
        <f>COUNTIF('Team Wise'!K185:K187,"Present")</f>
        <v>0</v>
      </c>
      <c r="L66" s="14"/>
      <c r="M66" s="14"/>
      <c r="N66" s="14"/>
      <c r="O66" s="14"/>
      <c r="P66" s="12" t="str">
        <f t="shared" si="0"/>
        <v/>
      </c>
      <c r="Q66" s="36" t="str">
        <f t="shared" si="1"/>
        <v/>
      </c>
      <c r="R66" s="12" t="str">
        <f t="shared" si="2"/>
        <v/>
      </c>
      <c r="S66" s="37"/>
    </row>
    <row r="67" spans="1:19" ht="44.25" customHeight="1" x14ac:dyDescent="0.35">
      <c r="A67" s="22">
        <v>62</v>
      </c>
      <c r="B67" s="22" t="s">
        <v>534</v>
      </c>
      <c r="C67" s="21" t="s">
        <v>535</v>
      </c>
      <c r="D67" s="21" t="s">
        <v>20</v>
      </c>
      <c r="E67" s="21" t="s">
        <v>1923</v>
      </c>
      <c r="F67" s="21" t="s">
        <v>17</v>
      </c>
      <c r="G67" s="21" t="s">
        <v>92</v>
      </c>
      <c r="H67" s="21" t="s">
        <v>31</v>
      </c>
      <c r="I67" s="38" t="s">
        <v>1924</v>
      </c>
      <c r="J67" s="22">
        <f>COUNTA('Team Wise'!D188:D190)</f>
        <v>3</v>
      </c>
      <c r="K67" s="22">
        <f>COUNTIF('Team Wise'!K188:K190,"Present")</f>
        <v>0</v>
      </c>
      <c r="L67" s="14"/>
      <c r="M67" s="14"/>
      <c r="N67" s="14"/>
      <c r="O67" s="14"/>
      <c r="P67" s="22" t="str">
        <f t="shared" si="0"/>
        <v/>
      </c>
      <c r="Q67" s="39" t="str">
        <f t="shared" si="1"/>
        <v/>
      </c>
      <c r="R67" s="22" t="str">
        <f t="shared" si="2"/>
        <v/>
      </c>
      <c r="S67" s="37"/>
    </row>
    <row r="68" spans="1:19" ht="44.25" customHeight="1" x14ac:dyDescent="0.35">
      <c r="A68" s="12">
        <v>63</v>
      </c>
      <c r="B68" s="12" t="s">
        <v>542</v>
      </c>
      <c r="C68" s="11" t="s">
        <v>543</v>
      </c>
      <c r="D68" s="11" t="s">
        <v>20</v>
      </c>
      <c r="E68" s="11" t="s">
        <v>1925</v>
      </c>
      <c r="F68" s="11" t="s">
        <v>17</v>
      </c>
      <c r="G68" s="11" t="s">
        <v>42</v>
      </c>
      <c r="H68" s="11" t="s">
        <v>31</v>
      </c>
      <c r="I68" s="35" t="s">
        <v>1926</v>
      </c>
      <c r="J68" s="12">
        <f>COUNTA('Team Wise'!D191:D193)</f>
        <v>3</v>
      </c>
      <c r="K68" s="12">
        <f>COUNTIF('Team Wise'!K191:K193,"Present")</f>
        <v>0</v>
      </c>
      <c r="L68" s="14"/>
      <c r="M68" s="14"/>
      <c r="N68" s="14"/>
      <c r="O68" s="14"/>
      <c r="P68" s="12" t="str">
        <f t="shared" si="0"/>
        <v/>
      </c>
      <c r="Q68" s="36" t="str">
        <f t="shared" si="1"/>
        <v/>
      </c>
      <c r="R68" s="12" t="str">
        <f t="shared" si="2"/>
        <v/>
      </c>
      <c r="S68" s="37"/>
    </row>
    <row r="69" spans="1:19" ht="44.25" customHeight="1" x14ac:dyDescent="0.35">
      <c r="A69" s="22">
        <v>64</v>
      </c>
      <c r="B69" s="22" t="s">
        <v>550</v>
      </c>
      <c r="C69" s="21" t="s">
        <v>551</v>
      </c>
      <c r="D69" s="21" t="s">
        <v>20</v>
      </c>
      <c r="E69" s="21" t="s">
        <v>1927</v>
      </c>
      <c r="F69" s="21" t="s">
        <v>553</v>
      </c>
      <c r="G69" s="21" t="s">
        <v>92</v>
      </c>
      <c r="H69" s="21" t="s">
        <v>31</v>
      </c>
      <c r="I69" s="38" t="s">
        <v>1928</v>
      </c>
      <c r="J69" s="22">
        <f>COUNTA('Team Wise'!D194:D196)</f>
        <v>3</v>
      </c>
      <c r="K69" s="22">
        <f>COUNTIF('Team Wise'!K194:K196,"Present")</f>
        <v>0</v>
      </c>
      <c r="L69" s="14"/>
      <c r="M69" s="14"/>
      <c r="N69" s="14"/>
      <c r="O69" s="14"/>
      <c r="P69" s="22" t="str">
        <f t="shared" si="0"/>
        <v/>
      </c>
      <c r="Q69" s="39" t="str">
        <f t="shared" si="1"/>
        <v/>
      </c>
      <c r="R69" s="22" t="str">
        <f t="shared" si="2"/>
        <v/>
      </c>
      <c r="S69" s="37"/>
    </row>
    <row r="70" spans="1:19" ht="44.25" customHeight="1" x14ac:dyDescent="0.35">
      <c r="A70" s="12">
        <v>65</v>
      </c>
      <c r="B70" s="12" t="s">
        <v>559</v>
      </c>
      <c r="C70" s="11" t="s">
        <v>560</v>
      </c>
      <c r="D70" s="11" t="s">
        <v>20</v>
      </c>
      <c r="E70" s="11" t="s">
        <v>1929</v>
      </c>
      <c r="F70" s="11" t="s">
        <v>17</v>
      </c>
      <c r="G70" s="11" t="s">
        <v>92</v>
      </c>
      <c r="H70" s="11" t="s">
        <v>31</v>
      </c>
      <c r="I70" s="35" t="s">
        <v>1930</v>
      </c>
      <c r="J70" s="12">
        <f>COUNTA('Team Wise'!D197:D199)</f>
        <v>3</v>
      </c>
      <c r="K70" s="12">
        <f>COUNTIF('Team Wise'!K197:K199,"Present")</f>
        <v>0</v>
      </c>
      <c r="L70" s="14"/>
      <c r="M70" s="14"/>
      <c r="N70" s="14"/>
      <c r="O70" s="14"/>
      <c r="P70" s="12" t="str">
        <f t="shared" ref="P70:P133" si="3">IF(COUNT(L70:O70)=0,"",SUM(L70:O70))</f>
        <v/>
      </c>
      <c r="Q70" s="36" t="str">
        <f t="shared" ref="Q70:Q133" si="4">IF(P70="","",P70/$P$4)</f>
        <v/>
      </c>
      <c r="R70" s="12" t="str">
        <f t="shared" ref="R70:R133" si="5">IF(P70="","",COUNTIFS($D$6:$D$219,D70,$P$6:$P$219,"&gt;"&amp;P70)+1)</f>
        <v/>
      </c>
      <c r="S70" s="37"/>
    </row>
    <row r="71" spans="1:19" ht="44.25" customHeight="1" x14ac:dyDescent="0.35">
      <c r="A71" s="22">
        <v>66</v>
      </c>
      <c r="B71" s="22" t="s">
        <v>567</v>
      </c>
      <c r="C71" s="21" t="s">
        <v>560</v>
      </c>
      <c r="D71" s="21" t="s">
        <v>20</v>
      </c>
      <c r="E71" s="21" t="s">
        <v>1931</v>
      </c>
      <c r="F71" s="21" t="s">
        <v>17</v>
      </c>
      <c r="G71" s="21" t="s">
        <v>42</v>
      </c>
      <c r="H71" s="21" t="s">
        <v>31</v>
      </c>
      <c r="I71" s="38" t="s">
        <v>1932</v>
      </c>
      <c r="J71" s="22">
        <f>COUNTA('Team Wise'!D200:D202)</f>
        <v>3</v>
      </c>
      <c r="K71" s="22">
        <f>COUNTIF('Team Wise'!K200:K202,"Present")</f>
        <v>0</v>
      </c>
      <c r="L71" s="14"/>
      <c r="M71" s="14"/>
      <c r="N71" s="14"/>
      <c r="O71" s="14"/>
      <c r="P71" s="22" t="str">
        <f t="shared" si="3"/>
        <v/>
      </c>
      <c r="Q71" s="39" t="str">
        <f t="shared" si="4"/>
        <v/>
      </c>
      <c r="R71" s="22" t="str">
        <f t="shared" si="5"/>
        <v/>
      </c>
      <c r="S71" s="37"/>
    </row>
    <row r="72" spans="1:19" ht="44.25" customHeight="1" x14ac:dyDescent="0.35">
      <c r="A72" s="12">
        <v>67</v>
      </c>
      <c r="B72" s="12" t="s">
        <v>574</v>
      </c>
      <c r="C72" s="11" t="s">
        <v>575</v>
      </c>
      <c r="D72" s="11" t="s">
        <v>20</v>
      </c>
      <c r="E72" s="11" t="s">
        <v>1933</v>
      </c>
      <c r="F72" s="11" t="s">
        <v>577</v>
      </c>
      <c r="G72" s="11" t="s">
        <v>92</v>
      </c>
      <c r="H72" s="11" t="s">
        <v>55</v>
      </c>
      <c r="I72" s="35" t="s">
        <v>1934</v>
      </c>
      <c r="J72" s="12">
        <f>COUNTA('Team Wise'!D203:D205)</f>
        <v>3</v>
      </c>
      <c r="K72" s="12">
        <f>COUNTIF('Team Wise'!K203:K205,"Present")</f>
        <v>0</v>
      </c>
      <c r="L72" s="14"/>
      <c r="M72" s="14"/>
      <c r="N72" s="14"/>
      <c r="O72" s="14"/>
      <c r="P72" s="12" t="str">
        <f t="shared" si="3"/>
        <v/>
      </c>
      <c r="Q72" s="36" t="str">
        <f t="shared" si="4"/>
        <v/>
      </c>
      <c r="R72" s="12" t="str">
        <f t="shared" si="5"/>
        <v/>
      </c>
      <c r="S72" s="37"/>
    </row>
    <row r="73" spans="1:19" ht="44.25" customHeight="1" x14ac:dyDescent="0.35">
      <c r="A73" s="22">
        <v>68</v>
      </c>
      <c r="B73" s="22" t="s">
        <v>583</v>
      </c>
      <c r="C73" s="21" t="s">
        <v>584</v>
      </c>
      <c r="D73" s="21" t="s">
        <v>20</v>
      </c>
      <c r="E73" s="21" t="s">
        <v>1935</v>
      </c>
      <c r="F73" s="21" t="s">
        <v>586</v>
      </c>
      <c r="G73" s="21" t="s">
        <v>42</v>
      </c>
      <c r="H73" s="21" t="s">
        <v>55</v>
      </c>
      <c r="I73" s="38" t="s">
        <v>1936</v>
      </c>
      <c r="J73" s="22">
        <f>COUNTA('Team Wise'!D206:D208)</f>
        <v>3</v>
      </c>
      <c r="K73" s="22">
        <f>COUNTIF('Team Wise'!K206:K208,"Present")</f>
        <v>0</v>
      </c>
      <c r="L73" s="14"/>
      <c r="M73" s="14"/>
      <c r="N73" s="14"/>
      <c r="O73" s="14"/>
      <c r="P73" s="22" t="str">
        <f t="shared" si="3"/>
        <v/>
      </c>
      <c r="Q73" s="39" t="str">
        <f t="shared" si="4"/>
        <v/>
      </c>
      <c r="R73" s="22" t="str">
        <f t="shared" si="5"/>
        <v/>
      </c>
      <c r="S73" s="37"/>
    </row>
    <row r="74" spans="1:19" ht="44.25" customHeight="1" x14ac:dyDescent="0.35">
      <c r="A74" s="12">
        <v>69</v>
      </c>
      <c r="B74" s="12" t="s">
        <v>592</v>
      </c>
      <c r="C74" s="11" t="s">
        <v>593</v>
      </c>
      <c r="D74" s="11" t="s">
        <v>20</v>
      </c>
      <c r="E74" s="11" t="s">
        <v>1937</v>
      </c>
      <c r="F74" s="11" t="s">
        <v>17</v>
      </c>
      <c r="G74" s="11" t="s">
        <v>18</v>
      </c>
      <c r="H74" s="11" t="s">
        <v>55</v>
      </c>
      <c r="I74" s="35" t="s">
        <v>1938</v>
      </c>
      <c r="J74" s="12">
        <f>COUNTA('Team Wise'!D209:D211)</f>
        <v>3</v>
      </c>
      <c r="K74" s="12">
        <f>COUNTIF('Team Wise'!K209:K211,"Present")</f>
        <v>0</v>
      </c>
      <c r="L74" s="14"/>
      <c r="M74" s="14"/>
      <c r="N74" s="14"/>
      <c r="O74" s="14"/>
      <c r="P74" s="12" t="str">
        <f t="shared" si="3"/>
        <v/>
      </c>
      <c r="Q74" s="36" t="str">
        <f t="shared" si="4"/>
        <v/>
      </c>
      <c r="R74" s="12" t="str">
        <f t="shared" si="5"/>
        <v/>
      </c>
      <c r="S74" s="37"/>
    </row>
    <row r="75" spans="1:19" ht="71.25" customHeight="1" x14ac:dyDescent="0.35">
      <c r="A75" s="22">
        <v>70</v>
      </c>
      <c r="B75" s="22" t="s">
        <v>600</v>
      </c>
      <c r="C75" s="21" t="s">
        <v>601</v>
      </c>
      <c r="D75" s="21" t="s">
        <v>20</v>
      </c>
      <c r="E75" s="21" t="s">
        <v>1939</v>
      </c>
      <c r="F75" s="21" t="s">
        <v>1940</v>
      </c>
      <c r="G75" s="21" t="s">
        <v>1870</v>
      </c>
      <c r="H75" s="21" t="s">
        <v>55</v>
      </c>
      <c r="I75" s="38" t="s">
        <v>1941</v>
      </c>
      <c r="J75" s="22">
        <f>COUNTA('Team Wise'!D212:D214)</f>
        <v>3</v>
      </c>
      <c r="K75" s="22">
        <f>COUNTIF('Team Wise'!K212:K214,"Present")</f>
        <v>0</v>
      </c>
      <c r="L75" s="14"/>
      <c r="M75" s="14"/>
      <c r="N75" s="14"/>
      <c r="O75" s="14"/>
      <c r="P75" s="22" t="str">
        <f t="shared" si="3"/>
        <v/>
      </c>
      <c r="Q75" s="39" t="str">
        <f t="shared" si="4"/>
        <v/>
      </c>
      <c r="R75" s="22" t="str">
        <f t="shared" si="5"/>
        <v/>
      </c>
      <c r="S75" s="37"/>
    </row>
    <row r="76" spans="1:19" ht="84.75" customHeight="1" x14ac:dyDescent="0.35">
      <c r="A76" s="12">
        <v>71</v>
      </c>
      <c r="B76" s="12" t="s">
        <v>610</v>
      </c>
      <c r="C76" s="11" t="s">
        <v>611</v>
      </c>
      <c r="D76" s="11" t="s">
        <v>20</v>
      </c>
      <c r="E76" s="11" t="s">
        <v>1942</v>
      </c>
      <c r="F76" s="11" t="s">
        <v>1943</v>
      </c>
      <c r="G76" s="11" t="s">
        <v>1888</v>
      </c>
      <c r="H76" s="11" t="s">
        <v>55</v>
      </c>
      <c r="I76" s="35" t="s">
        <v>1944</v>
      </c>
      <c r="J76" s="12">
        <f>COUNTA('Team Wise'!D215:D217)</f>
        <v>3</v>
      </c>
      <c r="K76" s="12">
        <f>COUNTIF('Team Wise'!K215:K217,"Present")</f>
        <v>0</v>
      </c>
      <c r="L76" s="14"/>
      <c r="M76" s="14"/>
      <c r="N76" s="14"/>
      <c r="O76" s="14"/>
      <c r="P76" s="12" t="str">
        <f t="shared" si="3"/>
        <v/>
      </c>
      <c r="Q76" s="36" t="str">
        <f t="shared" si="4"/>
        <v/>
      </c>
      <c r="R76" s="12" t="str">
        <f t="shared" si="5"/>
        <v/>
      </c>
      <c r="S76" s="37"/>
    </row>
    <row r="77" spans="1:19" ht="44.25" customHeight="1" x14ac:dyDescent="0.35">
      <c r="A77" s="22">
        <v>72</v>
      </c>
      <c r="B77" s="22" t="s">
        <v>619</v>
      </c>
      <c r="C77" s="21" t="s">
        <v>620</v>
      </c>
      <c r="D77" s="21" t="s">
        <v>20</v>
      </c>
      <c r="E77" s="21" t="s">
        <v>1945</v>
      </c>
      <c r="F77" s="21" t="s">
        <v>17</v>
      </c>
      <c r="G77" s="21" t="s">
        <v>42</v>
      </c>
      <c r="H77" s="21" t="s">
        <v>193</v>
      </c>
      <c r="I77" s="38" t="s">
        <v>1946</v>
      </c>
      <c r="J77" s="22">
        <f>COUNTA('Team Wise'!D218:D220)</f>
        <v>3</v>
      </c>
      <c r="K77" s="22">
        <f>COUNTIF('Team Wise'!K218:K220,"Present")</f>
        <v>0</v>
      </c>
      <c r="L77" s="14"/>
      <c r="M77" s="14"/>
      <c r="N77" s="14"/>
      <c r="O77" s="14"/>
      <c r="P77" s="22" t="str">
        <f t="shared" si="3"/>
        <v/>
      </c>
      <c r="Q77" s="39" t="str">
        <f t="shared" si="4"/>
        <v/>
      </c>
      <c r="R77" s="22" t="str">
        <f t="shared" si="5"/>
        <v/>
      </c>
      <c r="S77" s="37"/>
    </row>
    <row r="78" spans="1:19" ht="44.25" customHeight="1" x14ac:dyDescent="0.35">
      <c r="A78" s="12">
        <v>73</v>
      </c>
      <c r="B78" s="12" t="s">
        <v>627</v>
      </c>
      <c r="C78" s="11" t="s">
        <v>628</v>
      </c>
      <c r="D78" s="11" t="s">
        <v>20</v>
      </c>
      <c r="E78" s="11" t="s">
        <v>1947</v>
      </c>
      <c r="F78" s="11" t="s">
        <v>553</v>
      </c>
      <c r="G78" s="11" t="s">
        <v>294</v>
      </c>
      <c r="H78" s="11" t="s">
        <v>193</v>
      </c>
      <c r="I78" s="35" t="s">
        <v>1948</v>
      </c>
      <c r="J78" s="12">
        <f>COUNTA('Team Wise'!D221:D223)</f>
        <v>3</v>
      </c>
      <c r="K78" s="12">
        <f>COUNTIF('Team Wise'!K221:K223,"Present")</f>
        <v>0</v>
      </c>
      <c r="L78" s="14"/>
      <c r="M78" s="14"/>
      <c r="N78" s="14"/>
      <c r="O78" s="14"/>
      <c r="P78" s="12" t="str">
        <f t="shared" si="3"/>
        <v/>
      </c>
      <c r="Q78" s="36" t="str">
        <f t="shared" si="4"/>
        <v/>
      </c>
      <c r="R78" s="12" t="str">
        <f t="shared" si="5"/>
        <v/>
      </c>
      <c r="S78" s="37"/>
    </row>
    <row r="79" spans="1:19" ht="44.25" customHeight="1" x14ac:dyDescent="0.35">
      <c r="A79" s="22">
        <v>74</v>
      </c>
      <c r="B79" s="22" t="s">
        <v>635</v>
      </c>
      <c r="C79" s="21" t="s">
        <v>636</v>
      </c>
      <c r="D79" s="21" t="s">
        <v>20</v>
      </c>
      <c r="E79" s="21" t="s">
        <v>1949</v>
      </c>
      <c r="F79" s="21" t="s">
        <v>17</v>
      </c>
      <c r="G79" s="21" t="s">
        <v>324</v>
      </c>
      <c r="H79" s="21" t="s">
        <v>55</v>
      </c>
      <c r="I79" s="38" t="s">
        <v>1950</v>
      </c>
      <c r="J79" s="22">
        <f>COUNTA('Team Wise'!D224:D226)</f>
        <v>3</v>
      </c>
      <c r="K79" s="22">
        <f>COUNTIF('Team Wise'!K224:K226,"Present")</f>
        <v>0</v>
      </c>
      <c r="L79" s="14"/>
      <c r="M79" s="14"/>
      <c r="N79" s="14"/>
      <c r="O79" s="14"/>
      <c r="P79" s="22" t="str">
        <f t="shared" si="3"/>
        <v/>
      </c>
      <c r="Q79" s="39" t="str">
        <f t="shared" si="4"/>
        <v/>
      </c>
      <c r="R79" s="22" t="str">
        <f t="shared" si="5"/>
        <v/>
      </c>
      <c r="S79" s="37"/>
    </row>
    <row r="80" spans="1:19" ht="44.25" customHeight="1" x14ac:dyDescent="0.35">
      <c r="A80" s="12">
        <v>75</v>
      </c>
      <c r="B80" s="12" t="s">
        <v>643</v>
      </c>
      <c r="C80" s="11" t="s">
        <v>644</v>
      </c>
      <c r="D80" s="11" t="s">
        <v>20</v>
      </c>
      <c r="E80" s="11" t="s">
        <v>1951</v>
      </c>
      <c r="F80" s="11" t="s">
        <v>17</v>
      </c>
      <c r="G80" s="11" t="s">
        <v>30</v>
      </c>
      <c r="H80" s="11" t="s">
        <v>31</v>
      </c>
      <c r="I80" s="35" t="s">
        <v>1952</v>
      </c>
      <c r="J80" s="12">
        <f>COUNTA('Team Wise'!D227:D229)</f>
        <v>3</v>
      </c>
      <c r="K80" s="12">
        <f>COUNTIF('Team Wise'!K227:K229,"Present")</f>
        <v>0</v>
      </c>
      <c r="L80" s="14"/>
      <c r="M80" s="14"/>
      <c r="N80" s="14"/>
      <c r="O80" s="14"/>
      <c r="P80" s="12" t="str">
        <f t="shared" si="3"/>
        <v/>
      </c>
      <c r="Q80" s="36" t="str">
        <f t="shared" si="4"/>
        <v/>
      </c>
      <c r="R80" s="12" t="str">
        <f t="shared" si="5"/>
        <v/>
      </c>
      <c r="S80" s="37"/>
    </row>
    <row r="81" spans="1:19" ht="44.25" customHeight="1" x14ac:dyDescent="0.35">
      <c r="A81" s="22">
        <v>76</v>
      </c>
      <c r="B81" s="22" t="s">
        <v>651</v>
      </c>
      <c r="C81" s="21" t="s">
        <v>652</v>
      </c>
      <c r="D81" s="21" t="s">
        <v>20</v>
      </c>
      <c r="E81" s="21" t="s">
        <v>1953</v>
      </c>
      <c r="F81" s="21" t="s">
        <v>17</v>
      </c>
      <c r="G81" s="21" t="s">
        <v>42</v>
      </c>
      <c r="H81" s="21" t="s">
        <v>31</v>
      </c>
      <c r="I81" s="38" t="s">
        <v>1954</v>
      </c>
      <c r="J81" s="22">
        <f>COUNTA('Team Wise'!D230:D232)</f>
        <v>3</v>
      </c>
      <c r="K81" s="22">
        <f>COUNTIF('Team Wise'!K230:K232,"Present")</f>
        <v>0</v>
      </c>
      <c r="L81" s="14"/>
      <c r="M81" s="14"/>
      <c r="N81" s="14"/>
      <c r="O81" s="14"/>
      <c r="P81" s="22" t="str">
        <f t="shared" si="3"/>
        <v/>
      </c>
      <c r="Q81" s="39" t="str">
        <f t="shared" si="4"/>
        <v/>
      </c>
      <c r="R81" s="22" t="str">
        <f t="shared" si="5"/>
        <v/>
      </c>
      <c r="S81" s="37"/>
    </row>
    <row r="82" spans="1:19" ht="44.25" customHeight="1" x14ac:dyDescent="0.35">
      <c r="A82" s="12">
        <v>77</v>
      </c>
      <c r="B82" s="12" t="s">
        <v>659</v>
      </c>
      <c r="C82" s="11" t="s">
        <v>660</v>
      </c>
      <c r="D82" s="11" t="s">
        <v>20</v>
      </c>
      <c r="E82" s="11" t="s">
        <v>1955</v>
      </c>
      <c r="F82" s="11" t="s">
        <v>17</v>
      </c>
      <c r="G82" s="11" t="s">
        <v>92</v>
      </c>
      <c r="H82" s="11" t="s">
        <v>55</v>
      </c>
      <c r="I82" s="35" t="s">
        <v>1956</v>
      </c>
      <c r="J82" s="12">
        <f>COUNTA('Team Wise'!D233:D235)</f>
        <v>3</v>
      </c>
      <c r="K82" s="12">
        <f>COUNTIF('Team Wise'!K233:K235,"Present")</f>
        <v>0</v>
      </c>
      <c r="L82" s="14"/>
      <c r="M82" s="14"/>
      <c r="N82" s="14"/>
      <c r="O82" s="14"/>
      <c r="P82" s="12" t="str">
        <f t="shared" si="3"/>
        <v/>
      </c>
      <c r="Q82" s="36" t="str">
        <f t="shared" si="4"/>
        <v/>
      </c>
      <c r="R82" s="12" t="str">
        <f t="shared" si="5"/>
        <v/>
      </c>
      <c r="S82" s="37"/>
    </row>
    <row r="83" spans="1:19" ht="44.25" customHeight="1" x14ac:dyDescent="0.35">
      <c r="A83" s="22">
        <v>78</v>
      </c>
      <c r="B83" s="22" t="s">
        <v>667</v>
      </c>
      <c r="C83" s="21" t="s">
        <v>668</v>
      </c>
      <c r="D83" s="21" t="s">
        <v>20</v>
      </c>
      <c r="E83" s="21" t="s">
        <v>1957</v>
      </c>
      <c r="F83" s="21" t="s">
        <v>17</v>
      </c>
      <c r="G83" s="21" t="s">
        <v>42</v>
      </c>
      <c r="H83" s="21" t="s">
        <v>31</v>
      </c>
      <c r="I83" s="38" t="s">
        <v>1958</v>
      </c>
      <c r="J83" s="22">
        <f>COUNTA('Team Wise'!D236:D238)</f>
        <v>3</v>
      </c>
      <c r="K83" s="22">
        <f>COUNTIF('Team Wise'!K236:K238,"Present")</f>
        <v>0</v>
      </c>
      <c r="L83" s="14"/>
      <c r="M83" s="14"/>
      <c r="N83" s="14"/>
      <c r="O83" s="14"/>
      <c r="P83" s="22" t="str">
        <f t="shared" si="3"/>
        <v/>
      </c>
      <c r="Q83" s="39" t="str">
        <f t="shared" si="4"/>
        <v/>
      </c>
      <c r="R83" s="22" t="str">
        <f t="shared" si="5"/>
        <v/>
      </c>
      <c r="S83" s="37"/>
    </row>
    <row r="84" spans="1:19" ht="44.25" customHeight="1" x14ac:dyDescent="0.35">
      <c r="A84" s="12">
        <v>79</v>
      </c>
      <c r="B84" s="12" t="s">
        <v>675</v>
      </c>
      <c r="C84" s="11" t="s">
        <v>676</v>
      </c>
      <c r="D84" s="11" t="s">
        <v>20</v>
      </c>
      <c r="E84" s="11" t="s">
        <v>1959</v>
      </c>
      <c r="F84" s="11" t="s">
        <v>17</v>
      </c>
      <c r="G84" s="11" t="s">
        <v>30</v>
      </c>
      <c r="H84" s="11" t="s">
        <v>55</v>
      </c>
      <c r="I84" s="35" t="s">
        <v>1960</v>
      </c>
      <c r="J84" s="12">
        <f>COUNTA('Team Wise'!D239:D241)</f>
        <v>3</v>
      </c>
      <c r="K84" s="12">
        <f>COUNTIF('Team Wise'!K239:K241,"Present")</f>
        <v>0</v>
      </c>
      <c r="L84" s="14"/>
      <c r="M84" s="14"/>
      <c r="N84" s="14"/>
      <c r="O84" s="14"/>
      <c r="P84" s="12" t="str">
        <f t="shared" si="3"/>
        <v/>
      </c>
      <c r="Q84" s="36" t="str">
        <f t="shared" si="4"/>
        <v/>
      </c>
      <c r="R84" s="12" t="str">
        <f t="shared" si="5"/>
        <v/>
      </c>
      <c r="S84" s="37"/>
    </row>
    <row r="85" spans="1:19" ht="71.25" customHeight="1" x14ac:dyDescent="0.35">
      <c r="A85" s="22">
        <v>80</v>
      </c>
      <c r="B85" s="22" t="s">
        <v>683</v>
      </c>
      <c r="C85" s="21" t="s">
        <v>684</v>
      </c>
      <c r="D85" s="21" t="s">
        <v>20</v>
      </c>
      <c r="E85" s="21" t="s">
        <v>1961</v>
      </c>
      <c r="F85" s="21" t="s">
        <v>1962</v>
      </c>
      <c r="G85" s="21" t="s">
        <v>1963</v>
      </c>
      <c r="H85" s="21" t="s">
        <v>1964</v>
      </c>
      <c r="I85" s="38" t="s">
        <v>1965</v>
      </c>
      <c r="J85" s="22">
        <f>COUNTA('Team Wise'!D242:D244)</f>
        <v>3</v>
      </c>
      <c r="K85" s="22">
        <f>COUNTIF('Team Wise'!K242:K244,"Present")</f>
        <v>0</v>
      </c>
      <c r="L85" s="14"/>
      <c r="M85" s="14"/>
      <c r="N85" s="14"/>
      <c r="O85" s="14"/>
      <c r="P85" s="22" t="str">
        <f t="shared" si="3"/>
        <v/>
      </c>
      <c r="Q85" s="39" t="str">
        <f t="shared" si="4"/>
        <v/>
      </c>
      <c r="R85" s="22" t="str">
        <f t="shared" si="5"/>
        <v/>
      </c>
      <c r="S85" s="37"/>
    </row>
    <row r="86" spans="1:19" ht="44.25" customHeight="1" x14ac:dyDescent="0.35">
      <c r="A86" s="12">
        <v>81</v>
      </c>
      <c r="B86" s="12" t="s">
        <v>694</v>
      </c>
      <c r="C86" s="11" t="s">
        <v>695</v>
      </c>
      <c r="D86" s="11" t="s">
        <v>20</v>
      </c>
      <c r="E86" s="11" t="s">
        <v>1966</v>
      </c>
      <c r="F86" s="11" t="s">
        <v>17</v>
      </c>
      <c r="G86" s="11" t="s">
        <v>92</v>
      </c>
      <c r="H86" s="11" t="s">
        <v>55</v>
      </c>
      <c r="I86" s="35" t="s">
        <v>1967</v>
      </c>
      <c r="J86" s="12">
        <f>COUNTA('Team Wise'!D245:D247)</f>
        <v>3</v>
      </c>
      <c r="K86" s="12">
        <f>COUNTIF('Team Wise'!K245:K247,"Present")</f>
        <v>0</v>
      </c>
      <c r="L86" s="14"/>
      <c r="M86" s="14"/>
      <c r="N86" s="14"/>
      <c r="O86" s="14"/>
      <c r="P86" s="12" t="str">
        <f t="shared" si="3"/>
        <v/>
      </c>
      <c r="Q86" s="36" t="str">
        <f t="shared" si="4"/>
        <v/>
      </c>
      <c r="R86" s="12" t="str">
        <f t="shared" si="5"/>
        <v/>
      </c>
      <c r="S86" s="37"/>
    </row>
    <row r="87" spans="1:19" ht="44.25" customHeight="1" x14ac:dyDescent="0.35">
      <c r="A87" s="22">
        <v>82</v>
      </c>
      <c r="B87" s="22" t="s">
        <v>702</v>
      </c>
      <c r="C87" s="21" t="s">
        <v>703</v>
      </c>
      <c r="D87" s="21" t="s">
        <v>20</v>
      </c>
      <c r="E87" s="21" t="s">
        <v>1968</v>
      </c>
      <c r="F87" s="21" t="s">
        <v>218</v>
      </c>
      <c r="G87" s="21" t="s">
        <v>42</v>
      </c>
      <c r="H87" s="21" t="s">
        <v>55</v>
      </c>
      <c r="I87" s="38" t="s">
        <v>1969</v>
      </c>
      <c r="J87" s="22">
        <f>COUNTA('Team Wise'!D248:D250)</f>
        <v>3</v>
      </c>
      <c r="K87" s="22">
        <f>COUNTIF('Team Wise'!K248:K250,"Present")</f>
        <v>0</v>
      </c>
      <c r="L87" s="14"/>
      <c r="M87" s="14"/>
      <c r="N87" s="14"/>
      <c r="O87" s="14"/>
      <c r="P87" s="22" t="str">
        <f t="shared" si="3"/>
        <v/>
      </c>
      <c r="Q87" s="39" t="str">
        <f t="shared" si="4"/>
        <v/>
      </c>
      <c r="R87" s="22" t="str">
        <f t="shared" si="5"/>
        <v/>
      </c>
      <c r="S87" s="37"/>
    </row>
    <row r="88" spans="1:19" ht="44.25" customHeight="1" x14ac:dyDescent="0.35">
      <c r="A88" s="12">
        <v>83</v>
      </c>
      <c r="B88" s="12" t="s">
        <v>710</v>
      </c>
      <c r="C88" s="11" t="s">
        <v>711</v>
      </c>
      <c r="D88" s="11" t="s">
        <v>20</v>
      </c>
      <c r="E88" s="11" t="s">
        <v>1970</v>
      </c>
      <c r="F88" s="11" t="s">
        <v>192</v>
      </c>
      <c r="G88" s="11" t="s">
        <v>92</v>
      </c>
      <c r="H88" s="11" t="s">
        <v>55</v>
      </c>
      <c r="I88" s="35" t="s">
        <v>1971</v>
      </c>
      <c r="J88" s="12">
        <f>COUNTA('Team Wise'!D251:D253)</f>
        <v>3</v>
      </c>
      <c r="K88" s="12">
        <f>COUNTIF('Team Wise'!K251:K253,"Present")</f>
        <v>0</v>
      </c>
      <c r="L88" s="14"/>
      <c r="M88" s="14"/>
      <c r="N88" s="14"/>
      <c r="O88" s="14"/>
      <c r="P88" s="12" t="str">
        <f t="shared" si="3"/>
        <v/>
      </c>
      <c r="Q88" s="36" t="str">
        <f t="shared" si="4"/>
        <v/>
      </c>
      <c r="R88" s="12" t="str">
        <f t="shared" si="5"/>
        <v/>
      </c>
      <c r="S88" s="37"/>
    </row>
    <row r="89" spans="1:19" ht="44.25" customHeight="1" x14ac:dyDescent="0.35">
      <c r="A89" s="22">
        <v>84</v>
      </c>
      <c r="B89" s="22" t="s">
        <v>718</v>
      </c>
      <c r="C89" s="21" t="s">
        <v>719</v>
      </c>
      <c r="D89" s="21" t="s">
        <v>20</v>
      </c>
      <c r="E89" s="21" t="s">
        <v>1972</v>
      </c>
      <c r="F89" s="21" t="s">
        <v>17</v>
      </c>
      <c r="G89" s="21" t="s">
        <v>18</v>
      </c>
      <c r="H89" s="21" t="s">
        <v>55</v>
      </c>
      <c r="I89" s="38" t="s">
        <v>1973</v>
      </c>
      <c r="J89" s="22">
        <f>COUNTA('Team Wise'!D254:D256)</f>
        <v>3</v>
      </c>
      <c r="K89" s="22">
        <f>COUNTIF('Team Wise'!K254:K256,"Present")</f>
        <v>0</v>
      </c>
      <c r="L89" s="14"/>
      <c r="M89" s="14"/>
      <c r="N89" s="14"/>
      <c r="O89" s="14"/>
      <c r="P89" s="22" t="str">
        <f t="shared" si="3"/>
        <v/>
      </c>
      <c r="Q89" s="39" t="str">
        <f t="shared" si="4"/>
        <v/>
      </c>
      <c r="R89" s="22" t="str">
        <f t="shared" si="5"/>
        <v/>
      </c>
      <c r="S89" s="37"/>
    </row>
    <row r="90" spans="1:19" ht="44.25" customHeight="1" x14ac:dyDescent="0.35">
      <c r="A90" s="12">
        <v>85</v>
      </c>
      <c r="B90" s="12" t="s">
        <v>726</v>
      </c>
      <c r="C90" s="11" t="s">
        <v>727</v>
      </c>
      <c r="D90" s="11" t="s">
        <v>20</v>
      </c>
      <c r="E90" s="11" t="s">
        <v>1974</v>
      </c>
      <c r="F90" s="11" t="s">
        <v>17</v>
      </c>
      <c r="G90" s="11" t="s">
        <v>18</v>
      </c>
      <c r="H90" s="11" t="s">
        <v>31</v>
      </c>
      <c r="I90" s="35" t="s">
        <v>1975</v>
      </c>
      <c r="J90" s="12">
        <f>COUNTA('Team Wise'!D257:D259)</f>
        <v>3</v>
      </c>
      <c r="K90" s="12">
        <f>COUNTIF('Team Wise'!K257:K259,"Present")</f>
        <v>0</v>
      </c>
      <c r="L90" s="14"/>
      <c r="M90" s="14"/>
      <c r="N90" s="14"/>
      <c r="O90" s="14"/>
      <c r="P90" s="12" t="str">
        <f t="shared" si="3"/>
        <v/>
      </c>
      <c r="Q90" s="36" t="str">
        <f t="shared" si="4"/>
        <v/>
      </c>
      <c r="R90" s="12" t="str">
        <f t="shared" si="5"/>
        <v/>
      </c>
      <c r="S90" s="37"/>
    </row>
    <row r="91" spans="1:19" ht="44.25" customHeight="1" x14ac:dyDescent="0.35">
      <c r="A91" s="22">
        <v>86</v>
      </c>
      <c r="B91" s="22" t="s">
        <v>734</v>
      </c>
      <c r="C91" s="21" t="s">
        <v>735</v>
      </c>
      <c r="D91" s="21" t="s">
        <v>20</v>
      </c>
      <c r="E91" s="21" t="s">
        <v>1976</v>
      </c>
      <c r="F91" s="21" t="s">
        <v>167</v>
      </c>
      <c r="G91" s="21" t="s">
        <v>92</v>
      </c>
      <c r="H91" s="21" t="s">
        <v>31</v>
      </c>
      <c r="I91" s="38" t="s">
        <v>1977</v>
      </c>
      <c r="J91" s="22">
        <f>COUNTA('Team Wise'!D260:D262)</f>
        <v>3</v>
      </c>
      <c r="K91" s="22">
        <f>COUNTIF('Team Wise'!K260:K262,"Present")</f>
        <v>0</v>
      </c>
      <c r="L91" s="14"/>
      <c r="M91" s="14"/>
      <c r="N91" s="14"/>
      <c r="O91" s="14"/>
      <c r="P91" s="22" t="str">
        <f t="shared" si="3"/>
        <v/>
      </c>
      <c r="Q91" s="39" t="str">
        <f t="shared" si="4"/>
        <v/>
      </c>
      <c r="R91" s="22" t="str">
        <f t="shared" si="5"/>
        <v/>
      </c>
      <c r="S91" s="37"/>
    </row>
    <row r="92" spans="1:19" ht="44.25" customHeight="1" x14ac:dyDescent="0.35">
      <c r="A92" s="12">
        <v>87</v>
      </c>
      <c r="B92" s="12" t="s">
        <v>742</v>
      </c>
      <c r="C92" s="11" t="s">
        <v>743</v>
      </c>
      <c r="D92" s="11" t="s">
        <v>20</v>
      </c>
      <c r="E92" s="11" t="s">
        <v>1978</v>
      </c>
      <c r="F92" s="11" t="s">
        <v>17</v>
      </c>
      <c r="G92" s="11" t="s">
        <v>92</v>
      </c>
      <c r="H92" s="11" t="s">
        <v>31</v>
      </c>
      <c r="I92" s="35" t="s">
        <v>1979</v>
      </c>
      <c r="J92" s="12">
        <f>COUNTA('Team Wise'!D263:D265)</f>
        <v>3</v>
      </c>
      <c r="K92" s="12">
        <f>COUNTIF('Team Wise'!K263:K265,"Present")</f>
        <v>0</v>
      </c>
      <c r="L92" s="14"/>
      <c r="M92" s="14"/>
      <c r="N92" s="14"/>
      <c r="O92" s="14"/>
      <c r="P92" s="12" t="str">
        <f t="shared" si="3"/>
        <v/>
      </c>
      <c r="Q92" s="36" t="str">
        <f t="shared" si="4"/>
        <v/>
      </c>
      <c r="R92" s="12" t="str">
        <f t="shared" si="5"/>
        <v/>
      </c>
      <c r="S92" s="37"/>
    </row>
    <row r="93" spans="1:19" ht="44.25" customHeight="1" x14ac:dyDescent="0.35">
      <c r="A93" s="22">
        <v>88</v>
      </c>
      <c r="B93" s="22" t="s">
        <v>750</v>
      </c>
      <c r="C93" s="21" t="s">
        <v>751</v>
      </c>
      <c r="D93" s="21" t="s">
        <v>20</v>
      </c>
      <c r="E93" s="21" t="s">
        <v>1980</v>
      </c>
      <c r="F93" s="21" t="s">
        <v>17</v>
      </c>
      <c r="G93" s="21" t="s">
        <v>42</v>
      </c>
      <c r="H93" s="21" t="s">
        <v>31</v>
      </c>
      <c r="I93" s="38" t="s">
        <v>1981</v>
      </c>
      <c r="J93" s="22">
        <f>COUNTA('Team Wise'!D266:D268)</f>
        <v>3</v>
      </c>
      <c r="K93" s="22">
        <f>COUNTIF('Team Wise'!K266:K268,"Present")</f>
        <v>0</v>
      </c>
      <c r="L93" s="14"/>
      <c r="M93" s="14"/>
      <c r="N93" s="14"/>
      <c r="O93" s="14"/>
      <c r="P93" s="22" t="str">
        <f t="shared" si="3"/>
        <v/>
      </c>
      <c r="Q93" s="39" t="str">
        <f t="shared" si="4"/>
        <v/>
      </c>
      <c r="R93" s="22" t="str">
        <f t="shared" si="5"/>
        <v/>
      </c>
      <c r="S93" s="37"/>
    </row>
    <row r="94" spans="1:19" ht="44.25" customHeight="1" x14ac:dyDescent="0.35">
      <c r="A94" s="12">
        <v>89</v>
      </c>
      <c r="B94" s="12" t="s">
        <v>758</v>
      </c>
      <c r="C94" s="11" t="s">
        <v>759</v>
      </c>
      <c r="D94" s="11" t="s">
        <v>20</v>
      </c>
      <c r="E94" s="11" t="s">
        <v>1982</v>
      </c>
      <c r="F94" s="11" t="s">
        <v>1983</v>
      </c>
      <c r="G94" s="11" t="s">
        <v>1984</v>
      </c>
      <c r="H94" s="11" t="s">
        <v>31</v>
      </c>
      <c r="I94" s="35" t="s">
        <v>1985</v>
      </c>
      <c r="J94" s="12">
        <f>COUNTA('Team Wise'!D269:D271)</f>
        <v>3</v>
      </c>
      <c r="K94" s="12">
        <f>COUNTIF('Team Wise'!K269:K271,"Present")</f>
        <v>0</v>
      </c>
      <c r="L94" s="14"/>
      <c r="M94" s="14"/>
      <c r="N94" s="14"/>
      <c r="O94" s="14"/>
      <c r="P94" s="12" t="str">
        <f t="shared" si="3"/>
        <v/>
      </c>
      <c r="Q94" s="36" t="str">
        <f t="shared" si="4"/>
        <v/>
      </c>
      <c r="R94" s="12" t="str">
        <f t="shared" si="5"/>
        <v/>
      </c>
      <c r="S94" s="37"/>
    </row>
    <row r="95" spans="1:19" ht="44.25" customHeight="1" x14ac:dyDescent="0.35">
      <c r="A95" s="22">
        <v>90</v>
      </c>
      <c r="B95" s="22" t="s">
        <v>770</v>
      </c>
      <c r="C95" s="21" t="s">
        <v>759</v>
      </c>
      <c r="D95" s="21" t="s">
        <v>20</v>
      </c>
      <c r="E95" s="21" t="s">
        <v>1986</v>
      </c>
      <c r="F95" s="21" t="s">
        <v>17</v>
      </c>
      <c r="G95" s="21" t="s">
        <v>42</v>
      </c>
      <c r="H95" s="21" t="s">
        <v>31</v>
      </c>
      <c r="I95" s="38" t="s">
        <v>1987</v>
      </c>
      <c r="J95" s="22">
        <f>COUNTA('Team Wise'!D272:D274)</f>
        <v>3</v>
      </c>
      <c r="K95" s="22">
        <f>COUNTIF('Team Wise'!K272:K274,"Present")</f>
        <v>0</v>
      </c>
      <c r="L95" s="14"/>
      <c r="M95" s="14"/>
      <c r="N95" s="14"/>
      <c r="O95" s="14"/>
      <c r="P95" s="22" t="str">
        <f t="shared" si="3"/>
        <v/>
      </c>
      <c r="Q95" s="39" t="str">
        <f t="shared" si="4"/>
        <v/>
      </c>
      <c r="R95" s="22" t="str">
        <f t="shared" si="5"/>
        <v/>
      </c>
      <c r="S95" s="37"/>
    </row>
    <row r="96" spans="1:19" ht="44.25" customHeight="1" x14ac:dyDescent="0.35">
      <c r="A96" s="12">
        <v>91</v>
      </c>
      <c r="B96" s="12" t="s">
        <v>777</v>
      </c>
      <c r="C96" s="11" t="s">
        <v>759</v>
      </c>
      <c r="D96" s="11" t="s">
        <v>20</v>
      </c>
      <c r="E96" s="11" t="s">
        <v>1988</v>
      </c>
      <c r="F96" s="11" t="s">
        <v>779</v>
      </c>
      <c r="G96" s="11" t="s">
        <v>92</v>
      </c>
      <c r="H96" s="11" t="s">
        <v>55</v>
      </c>
      <c r="I96" s="35" t="s">
        <v>1989</v>
      </c>
      <c r="J96" s="12">
        <f>COUNTA('Team Wise'!D275:D277)</f>
        <v>3</v>
      </c>
      <c r="K96" s="12">
        <f>COUNTIF('Team Wise'!K275:K277,"Present")</f>
        <v>0</v>
      </c>
      <c r="L96" s="14"/>
      <c r="M96" s="14"/>
      <c r="N96" s="14"/>
      <c r="O96" s="14"/>
      <c r="P96" s="12" t="str">
        <f t="shared" si="3"/>
        <v/>
      </c>
      <c r="Q96" s="36" t="str">
        <f t="shared" si="4"/>
        <v/>
      </c>
      <c r="R96" s="12" t="str">
        <f t="shared" si="5"/>
        <v/>
      </c>
      <c r="S96" s="37"/>
    </row>
    <row r="97" spans="1:19" ht="44.25" customHeight="1" x14ac:dyDescent="0.35">
      <c r="A97" s="22">
        <v>92</v>
      </c>
      <c r="B97" s="22" t="s">
        <v>785</v>
      </c>
      <c r="C97" s="21" t="s">
        <v>759</v>
      </c>
      <c r="D97" s="21" t="s">
        <v>20</v>
      </c>
      <c r="E97" s="21" t="s">
        <v>1990</v>
      </c>
      <c r="F97" s="21" t="s">
        <v>17</v>
      </c>
      <c r="G97" s="21" t="s">
        <v>18</v>
      </c>
      <c r="H97" s="21" t="s">
        <v>55</v>
      </c>
      <c r="I97" s="38" t="s">
        <v>1991</v>
      </c>
      <c r="J97" s="22">
        <f>COUNTA('Team Wise'!D278:D280)</f>
        <v>3</v>
      </c>
      <c r="K97" s="22">
        <f>COUNTIF('Team Wise'!K278:K280,"Present")</f>
        <v>0</v>
      </c>
      <c r="L97" s="14"/>
      <c r="M97" s="14"/>
      <c r="N97" s="14"/>
      <c r="O97" s="14"/>
      <c r="P97" s="22" t="str">
        <f t="shared" si="3"/>
        <v/>
      </c>
      <c r="Q97" s="39" t="str">
        <f t="shared" si="4"/>
        <v/>
      </c>
      <c r="R97" s="22" t="str">
        <f t="shared" si="5"/>
        <v/>
      </c>
      <c r="S97" s="37"/>
    </row>
    <row r="98" spans="1:19" ht="44.25" customHeight="1" x14ac:dyDescent="0.35">
      <c r="A98" s="12">
        <v>93</v>
      </c>
      <c r="B98" s="12" t="s">
        <v>792</v>
      </c>
      <c r="C98" s="11" t="s">
        <v>793</v>
      </c>
      <c r="D98" s="11" t="s">
        <v>20</v>
      </c>
      <c r="E98" s="11" t="s">
        <v>1992</v>
      </c>
      <c r="F98" s="11" t="s">
        <v>17</v>
      </c>
      <c r="G98" s="11" t="s">
        <v>42</v>
      </c>
      <c r="H98" s="11" t="s">
        <v>31</v>
      </c>
      <c r="I98" s="35" t="s">
        <v>1993</v>
      </c>
      <c r="J98" s="12">
        <f>COUNTA('Team Wise'!D281:D283)</f>
        <v>3</v>
      </c>
      <c r="K98" s="12">
        <f>COUNTIF('Team Wise'!K281:K283,"Present")</f>
        <v>0</v>
      </c>
      <c r="L98" s="14"/>
      <c r="M98" s="14"/>
      <c r="N98" s="14"/>
      <c r="O98" s="14"/>
      <c r="P98" s="12" t="str">
        <f t="shared" si="3"/>
        <v/>
      </c>
      <c r="Q98" s="36" t="str">
        <f t="shared" si="4"/>
        <v/>
      </c>
      <c r="R98" s="12" t="str">
        <f t="shared" si="5"/>
        <v/>
      </c>
      <c r="S98" s="37"/>
    </row>
    <row r="99" spans="1:19" ht="44.25" customHeight="1" x14ac:dyDescent="0.35">
      <c r="A99" s="22">
        <v>94</v>
      </c>
      <c r="B99" s="22" t="s">
        <v>800</v>
      </c>
      <c r="C99" s="21" t="s">
        <v>801</v>
      </c>
      <c r="D99" s="21" t="s">
        <v>20</v>
      </c>
      <c r="E99" s="21" t="s">
        <v>1994</v>
      </c>
      <c r="F99" s="21" t="s">
        <v>17</v>
      </c>
      <c r="G99" s="21" t="s">
        <v>30</v>
      </c>
      <c r="H99" s="21" t="s">
        <v>1912</v>
      </c>
      <c r="I99" s="38" t="s">
        <v>1995</v>
      </c>
      <c r="J99" s="22">
        <f>COUNTA('Team Wise'!D284:D286)</f>
        <v>3</v>
      </c>
      <c r="K99" s="22">
        <f>COUNTIF('Team Wise'!K284:K286,"Present")</f>
        <v>0</v>
      </c>
      <c r="L99" s="14"/>
      <c r="M99" s="14"/>
      <c r="N99" s="14"/>
      <c r="O99" s="14"/>
      <c r="P99" s="22" t="str">
        <f t="shared" si="3"/>
        <v/>
      </c>
      <c r="Q99" s="39" t="str">
        <f t="shared" si="4"/>
        <v/>
      </c>
      <c r="R99" s="22" t="str">
        <f t="shared" si="5"/>
        <v/>
      </c>
      <c r="S99" s="37"/>
    </row>
    <row r="100" spans="1:19" ht="44.25" customHeight="1" x14ac:dyDescent="0.35">
      <c r="A100" s="12">
        <v>95</v>
      </c>
      <c r="B100" s="12" t="s">
        <v>808</v>
      </c>
      <c r="C100" s="11" t="s">
        <v>801</v>
      </c>
      <c r="D100" s="11" t="s">
        <v>20</v>
      </c>
      <c r="E100" s="11" t="s">
        <v>1996</v>
      </c>
      <c r="F100" s="11" t="s">
        <v>17</v>
      </c>
      <c r="G100" s="11" t="s">
        <v>30</v>
      </c>
      <c r="H100" s="11" t="s">
        <v>31</v>
      </c>
      <c r="I100" s="35" t="s">
        <v>1997</v>
      </c>
      <c r="J100" s="12">
        <f>COUNTA('Team Wise'!D287:D289)</f>
        <v>3</v>
      </c>
      <c r="K100" s="12">
        <f>COUNTIF('Team Wise'!K287:K289,"Present")</f>
        <v>0</v>
      </c>
      <c r="L100" s="14"/>
      <c r="M100" s="14"/>
      <c r="N100" s="14"/>
      <c r="O100" s="14"/>
      <c r="P100" s="12" t="str">
        <f t="shared" si="3"/>
        <v/>
      </c>
      <c r="Q100" s="36" t="str">
        <f t="shared" si="4"/>
        <v/>
      </c>
      <c r="R100" s="12" t="str">
        <f t="shared" si="5"/>
        <v/>
      </c>
      <c r="S100" s="37"/>
    </row>
    <row r="101" spans="1:19" ht="44.25" customHeight="1" x14ac:dyDescent="0.35">
      <c r="A101" s="22">
        <v>96</v>
      </c>
      <c r="B101" s="22" t="s">
        <v>815</v>
      </c>
      <c r="C101" s="21" t="s">
        <v>801</v>
      </c>
      <c r="D101" s="21" t="s">
        <v>20</v>
      </c>
      <c r="E101" s="21" t="s">
        <v>1998</v>
      </c>
      <c r="F101" s="21" t="s">
        <v>17</v>
      </c>
      <c r="G101" s="21" t="s">
        <v>92</v>
      </c>
      <c r="H101" s="21" t="s">
        <v>55</v>
      </c>
      <c r="I101" s="38" t="s">
        <v>1999</v>
      </c>
      <c r="J101" s="22">
        <f>COUNTA('Team Wise'!D290:D292)</f>
        <v>3</v>
      </c>
      <c r="K101" s="22">
        <f>COUNTIF('Team Wise'!K290:K292,"Present")</f>
        <v>0</v>
      </c>
      <c r="L101" s="14"/>
      <c r="M101" s="14"/>
      <c r="N101" s="14"/>
      <c r="O101" s="14"/>
      <c r="P101" s="22" t="str">
        <f t="shared" si="3"/>
        <v/>
      </c>
      <c r="Q101" s="39" t="str">
        <f t="shared" si="4"/>
        <v/>
      </c>
      <c r="R101" s="22" t="str">
        <f t="shared" si="5"/>
        <v/>
      </c>
      <c r="S101" s="37"/>
    </row>
    <row r="102" spans="1:19" ht="44.25" customHeight="1" x14ac:dyDescent="0.35">
      <c r="A102" s="12">
        <v>97</v>
      </c>
      <c r="B102" s="12" t="s">
        <v>822</v>
      </c>
      <c r="C102" s="11" t="s">
        <v>823</v>
      </c>
      <c r="D102" s="11" t="s">
        <v>20</v>
      </c>
      <c r="E102" s="11" t="s">
        <v>2000</v>
      </c>
      <c r="F102" s="11" t="s">
        <v>17</v>
      </c>
      <c r="G102" s="11" t="s">
        <v>18</v>
      </c>
      <c r="H102" s="11" t="s">
        <v>31</v>
      </c>
      <c r="I102" s="35" t="s">
        <v>2001</v>
      </c>
      <c r="J102" s="12">
        <f>COUNTA('Team Wise'!D293:D295)</f>
        <v>3</v>
      </c>
      <c r="K102" s="12">
        <f>COUNTIF('Team Wise'!K293:K295,"Present")</f>
        <v>0</v>
      </c>
      <c r="L102" s="14"/>
      <c r="M102" s="14"/>
      <c r="N102" s="14"/>
      <c r="O102" s="14"/>
      <c r="P102" s="12" t="str">
        <f t="shared" si="3"/>
        <v/>
      </c>
      <c r="Q102" s="36" t="str">
        <f t="shared" si="4"/>
        <v/>
      </c>
      <c r="R102" s="12" t="str">
        <f t="shared" si="5"/>
        <v/>
      </c>
      <c r="S102" s="37"/>
    </row>
    <row r="103" spans="1:19" ht="44.25" customHeight="1" x14ac:dyDescent="0.35">
      <c r="A103" s="22">
        <v>98</v>
      </c>
      <c r="B103" s="22" t="s">
        <v>830</v>
      </c>
      <c r="C103" s="21" t="s">
        <v>831</v>
      </c>
      <c r="D103" s="21" t="s">
        <v>20</v>
      </c>
      <c r="E103" s="21" t="s">
        <v>2002</v>
      </c>
      <c r="F103" s="21" t="s">
        <v>17</v>
      </c>
      <c r="G103" s="21" t="s">
        <v>1800</v>
      </c>
      <c r="H103" s="21" t="s">
        <v>31</v>
      </c>
      <c r="I103" s="38" t="s">
        <v>2003</v>
      </c>
      <c r="J103" s="22">
        <f>COUNTA('Team Wise'!D296:D298)</f>
        <v>3</v>
      </c>
      <c r="K103" s="22">
        <f>COUNTIF('Team Wise'!K296:K298,"Present")</f>
        <v>0</v>
      </c>
      <c r="L103" s="14"/>
      <c r="M103" s="14"/>
      <c r="N103" s="14"/>
      <c r="O103" s="14"/>
      <c r="P103" s="22" t="str">
        <f t="shared" si="3"/>
        <v/>
      </c>
      <c r="Q103" s="39" t="str">
        <f t="shared" si="4"/>
        <v/>
      </c>
      <c r="R103" s="22" t="str">
        <f t="shared" si="5"/>
        <v/>
      </c>
      <c r="S103" s="37"/>
    </row>
    <row r="104" spans="1:19" ht="44.25" customHeight="1" x14ac:dyDescent="0.35">
      <c r="A104" s="12">
        <v>99</v>
      </c>
      <c r="B104" s="12" t="s">
        <v>838</v>
      </c>
      <c r="C104" s="11" t="s">
        <v>839</v>
      </c>
      <c r="D104" s="11" t="s">
        <v>20</v>
      </c>
      <c r="E104" s="11" t="s">
        <v>2004</v>
      </c>
      <c r="F104" s="11" t="s">
        <v>17</v>
      </c>
      <c r="G104" s="11" t="s">
        <v>2005</v>
      </c>
      <c r="H104" s="11" t="s">
        <v>31</v>
      </c>
      <c r="I104" s="35" t="s">
        <v>2006</v>
      </c>
      <c r="J104" s="12">
        <f>COUNTA('Team Wise'!D299:D301)</f>
        <v>3</v>
      </c>
      <c r="K104" s="12">
        <f>COUNTIF('Team Wise'!K299:K301,"Present")</f>
        <v>0</v>
      </c>
      <c r="L104" s="14"/>
      <c r="M104" s="14"/>
      <c r="N104" s="14"/>
      <c r="O104" s="14"/>
      <c r="P104" s="12" t="str">
        <f t="shared" si="3"/>
        <v/>
      </c>
      <c r="Q104" s="36" t="str">
        <f t="shared" si="4"/>
        <v/>
      </c>
      <c r="R104" s="12" t="str">
        <f t="shared" si="5"/>
        <v/>
      </c>
      <c r="S104" s="37"/>
    </row>
    <row r="105" spans="1:19" ht="44.25" customHeight="1" x14ac:dyDescent="0.35">
      <c r="A105" s="22">
        <v>100</v>
      </c>
      <c r="B105" s="22" t="s">
        <v>846</v>
      </c>
      <c r="C105" s="21" t="s">
        <v>847</v>
      </c>
      <c r="D105" s="21" t="s">
        <v>20</v>
      </c>
      <c r="E105" s="21" t="s">
        <v>2007</v>
      </c>
      <c r="F105" s="21" t="s">
        <v>17</v>
      </c>
      <c r="G105" s="21" t="s">
        <v>42</v>
      </c>
      <c r="H105" s="21" t="s">
        <v>31</v>
      </c>
      <c r="I105" s="38" t="s">
        <v>2008</v>
      </c>
      <c r="J105" s="22">
        <f>COUNTA('Team Wise'!D302:D304)</f>
        <v>3</v>
      </c>
      <c r="K105" s="22">
        <f>COUNTIF('Team Wise'!K302:K304,"Present")</f>
        <v>0</v>
      </c>
      <c r="L105" s="14"/>
      <c r="M105" s="14"/>
      <c r="N105" s="14"/>
      <c r="O105" s="14"/>
      <c r="P105" s="22" t="str">
        <f t="shared" si="3"/>
        <v/>
      </c>
      <c r="Q105" s="39" t="str">
        <f t="shared" si="4"/>
        <v/>
      </c>
      <c r="R105" s="22" t="str">
        <f t="shared" si="5"/>
        <v/>
      </c>
      <c r="S105" s="37"/>
    </row>
    <row r="106" spans="1:19" ht="44.25" customHeight="1" x14ac:dyDescent="0.35">
      <c r="A106" s="12">
        <v>101</v>
      </c>
      <c r="B106" s="12" t="s">
        <v>854</v>
      </c>
      <c r="C106" s="11" t="s">
        <v>855</v>
      </c>
      <c r="D106" s="11" t="s">
        <v>20</v>
      </c>
      <c r="E106" s="11" t="s">
        <v>2009</v>
      </c>
      <c r="F106" s="11" t="s">
        <v>17</v>
      </c>
      <c r="G106" s="11" t="s">
        <v>30</v>
      </c>
      <c r="H106" s="11" t="s">
        <v>55</v>
      </c>
      <c r="I106" s="35" t="s">
        <v>2010</v>
      </c>
      <c r="J106" s="12">
        <f>COUNTA('Team Wise'!D305:D307)</f>
        <v>3</v>
      </c>
      <c r="K106" s="12">
        <f>COUNTIF('Team Wise'!K305:K307,"Present")</f>
        <v>0</v>
      </c>
      <c r="L106" s="14"/>
      <c r="M106" s="14"/>
      <c r="N106" s="14"/>
      <c r="O106" s="14"/>
      <c r="P106" s="12" t="str">
        <f t="shared" si="3"/>
        <v/>
      </c>
      <c r="Q106" s="36" t="str">
        <f t="shared" si="4"/>
        <v/>
      </c>
      <c r="R106" s="12" t="str">
        <f t="shared" si="5"/>
        <v/>
      </c>
      <c r="S106" s="37"/>
    </row>
    <row r="107" spans="1:19" ht="84.75" customHeight="1" x14ac:dyDescent="0.35">
      <c r="A107" s="22">
        <v>102</v>
      </c>
      <c r="B107" s="22" t="s">
        <v>862</v>
      </c>
      <c r="C107" s="21" t="s">
        <v>863</v>
      </c>
      <c r="D107" s="21" t="s">
        <v>20</v>
      </c>
      <c r="E107" s="21" t="s">
        <v>2011</v>
      </c>
      <c r="F107" s="21" t="s">
        <v>2012</v>
      </c>
      <c r="G107" s="21" t="s">
        <v>2013</v>
      </c>
      <c r="H107" s="21" t="s">
        <v>55</v>
      </c>
      <c r="I107" s="38" t="s">
        <v>2014</v>
      </c>
      <c r="J107" s="22">
        <f>COUNTA('Team Wise'!D308:D310)</f>
        <v>3</v>
      </c>
      <c r="K107" s="22">
        <f>COUNTIF('Team Wise'!K308:K310,"Present")</f>
        <v>0</v>
      </c>
      <c r="L107" s="14"/>
      <c r="M107" s="14"/>
      <c r="N107" s="14"/>
      <c r="O107" s="14"/>
      <c r="P107" s="22" t="str">
        <f t="shared" si="3"/>
        <v/>
      </c>
      <c r="Q107" s="39" t="str">
        <f t="shared" si="4"/>
        <v/>
      </c>
      <c r="R107" s="22" t="str">
        <f t="shared" si="5"/>
        <v/>
      </c>
      <c r="S107" s="37"/>
    </row>
    <row r="108" spans="1:19" ht="44.25" customHeight="1" x14ac:dyDescent="0.35">
      <c r="A108" s="12">
        <v>103</v>
      </c>
      <c r="B108" s="12" t="s">
        <v>870</v>
      </c>
      <c r="C108" s="11" t="s">
        <v>871</v>
      </c>
      <c r="D108" s="11" t="s">
        <v>20</v>
      </c>
      <c r="E108" s="11" t="s">
        <v>2015</v>
      </c>
      <c r="F108" s="11" t="s">
        <v>17</v>
      </c>
      <c r="G108" s="11" t="s">
        <v>30</v>
      </c>
      <c r="H108" s="11" t="s">
        <v>55</v>
      </c>
      <c r="I108" s="35" t="s">
        <v>2016</v>
      </c>
      <c r="J108" s="12">
        <f>COUNTA('Team Wise'!D311:D313)</f>
        <v>3</v>
      </c>
      <c r="K108" s="12">
        <f>COUNTIF('Team Wise'!K311:K313,"Present")</f>
        <v>0</v>
      </c>
      <c r="L108" s="14"/>
      <c r="M108" s="14"/>
      <c r="N108" s="14"/>
      <c r="O108" s="14"/>
      <c r="P108" s="12" t="str">
        <f t="shared" si="3"/>
        <v/>
      </c>
      <c r="Q108" s="36" t="str">
        <f t="shared" si="4"/>
        <v/>
      </c>
      <c r="R108" s="12" t="str">
        <f t="shared" si="5"/>
        <v/>
      </c>
      <c r="S108" s="37"/>
    </row>
    <row r="109" spans="1:19" ht="44.25" customHeight="1" x14ac:dyDescent="0.35">
      <c r="A109" s="22">
        <v>104</v>
      </c>
      <c r="B109" s="22" t="s">
        <v>878</v>
      </c>
      <c r="C109" s="21" t="s">
        <v>879</v>
      </c>
      <c r="D109" s="21" t="s">
        <v>20</v>
      </c>
      <c r="E109" s="21" t="s">
        <v>2017</v>
      </c>
      <c r="F109" s="21" t="s">
        <v>438</v>
      </c>
      <c r="G109" s="21" t="s">
        <v>294</v>
      </c>
      <c r="H109" s="21" t="s">
        <v>55</v>
      </c>
      <c r="I109" s="38" t="s">
        <v>2018</v>
      </c>
      <c r="J109" s="22">
        <f>COUNTA('Team Wise'!D314:D316)</f>
        <v>3</v>
      </c>
      <c r="K109" s="22">
        <f>COUNTIF('Team Wise'!K314:K316,"Present")</f>
        <v>0</v>
      </c>
      <c r="L109" s="14"/>
      <c r="M109" s="14"/>
      <c r="N109" s="14"/>
      <c r="O109" s="14"/>
      <c r="P109" s="22" t="str">
        <f t="shared" si="3"/>
        <v/>
      </c>
      <c r="Q109" s="39" t="str">
        <f t="shared" si="4"/>
        <v/>
      </c>
      <c r="R109" s="22" t="str">
        <f t="shared" si="5"/>
        <v/>
      </c>
      <c r="S109" s="37"/>
    </row>
    <row r="110" spans="1:19" ht="44.25" customHeight="1" x14ac:dyDescent="0.35">
      <c r="A110" s="12">
        <v>105</v>
      </c>
      <c r="B110" s="12" t="s">
        <v>886</v>
      </c>
      <c r="C110" s="11" t="s">
        <v>887</v>
      </c>
      <c r="D110" s="11" t="s">
        <v>20</v>
      </c>
      <c r="E110" s="11" t="s">
        <v>2019</v>
      </c>
      <c r="F110" s="11" t="s">
        <v>17</v>
      </c>
      <c r="G110" s="11" t="s">
        <v>92</v>
      </c>
      <c r="H110" s="11" t="s">
        <v>55</v>
      </c>
      <c r="I110" s="35" t="s">
        <v>2020</v>
      </c>
      <c r="J110" s="12">
        <f>COUNTA('Team Wise'!D317:D319)</f>
        <v>3</v>
      </c>
      <c r="K110" s="12">
        <f>COUNTIF('Team Wise'!K317:K319,"Present")</f>
        <v>0</v>
      </c>
      <c r="L110" s="14"/>
      <c r="M110" s="14"/>
      <c r="N110" s="14"/>
      <c r="O110" s="14"/>
      <c r="P110" s="12" t="str">
        <f t="shared" si="3"/>
        <v/>
      </c>
      <c r="Q110" s="36" t="str">
        <f t="shared" si="4"/>
        <v/>
      </c>
      <c r="R110" s="12" t="str">
        <f t="shared" si="5"/>
        <v/>
      </c>
      <c r="S110" s="37"/>
    </row>
    <row r="111" spans="1:19" ht="84.75" customHeight="1" x14ac:dyDescent="0.35">
      <c r="A111" s="22">
        <v>106</v>
      </c>
      <c r="B111" s="22" t="s">
        <v>894</v>
      </c>
      <c r="C111" s="21" t="s">
        <v>895</v>
      </c>
      <c r="D111" s="21" t="s">
        <v>20</v>
      </c>
      <c r="E111" s="21" t="s">
        <v>2021</v>
      </c>
      <c r="F111" s="21" t="s">
        <v>2022</v>
      </c>
      <c r="G111" s="21" t="s">
        <v>92</v>
      </c>
      <c r="H111" s="21" t="s">
        <v>2023</v>
      </c>
      <c r="I111" s="38" t="s">
        <v>2024</v>
      </c>
      <c r="J111" s="22">
        <f>COUNTA('Team Wise'!D320:D322)</f>
        <v>3</v>
      </c>
      <c r="K111" s="22">
        <f>COUNTIF('Team Wise'!K320:K322,"Present")</f>
        <v>0</v>
      </c>
      <c r="L111" s="14"/>
      <c r="M111" s="14"/>
      <c r="N111" s="14"/>
      <c r="O111" s="14"/>
      <c r="P111" s="22" t="str">
        <f t="shared" si="3"/>
        <v/>
      </c>
      <c r="Q111" s="39" t="str">
        <f t="shared" si="4"/>
        <v/>
      </c>
      <c r="R111" s="22" t="str">
        <f t="shared" si="5"/>
        <v/>
      </c>
      <c r="S111" s="37"/>
    </row>
    <row r="112" spans="1:19" ht="44.25" customHeight="1" x14ac:dyDescent="0.35">
      <c r="A112" s="12">
        <v>107</v>
      </c>
      <c r="B112" s="12" t="s">
        <v>903</v>
      </c>
      <c r="C112" s="11" t="s">
        <v>904</v>
      </c>
      <c r="D112" s="11" t="s">
        <v>20</v>
      </c>
      <c r="E112" s="11" t="s">
        <v>2025</v>
      </c>
      <c r="F112" s="11" t="s">
        <v>17</v>
      </c>
      <c r="G112" s="11" t="s">
        <v>2026</v>
      </c>
      <c r="H112" s="11" t="s">
        <v>1790</v>
      </c>
      <c r="I112" s="35" t="s">
        <v>2027</v>
      </c>
      <c r="J112" s="12">
        <f>COUNTA('Team Wise'!D323:D325)</f>
        <v>3</v>
      </c>
      <c r="K112" s="12">
        <f>COUNTIF('Team Wise'!K323:K325,"Present")</f>
        <v>0</v>
      </c>
      <c r="L112" s="14"/>
      <c r="M112" s="14"/>
      <c r="N112" s="14"/>
      <c r="O112" s="14"/>
      <c r="P112" s="12" t="str">
        <f t="shared" si="3"/>
        <v/>
      </c>
      <c r="Q112" s="36" t="str">
        <f t="shared" si="4"/>
        <v/>
      </c>
      <c r="R112" s="12" t="str">
        <f t="shared" si="5"/>
        <v/>
      </c>
      <c r="S112" s="37"/>
    </row>
    <row r="113" spans="1:19" ht="44.25" customHeight="1" x14ac:dyDescent="0.35">
      <c r="A113" s="22">
        <v>108</v>
      </c>
      <c r="B113" s="22" t="s">
        <v>911</v>
      </c>
      <c r="C113" s="21" t="s">
        <v>912</v>
      </c>
      <c r="D113" s="21" t="s">
        <v>20</v>
      </c>
      <c r="E113" s="21" t="s">
        <v>2028</v>
      </c>
      <c r="F113" s="21" t="s">
        <v>914</v>
      </c>
      <c r="G113" s="21" t="s">
        <v>2029</v>
      </c>
      <c r="H113" s="21" t="s">
        <v>19</v>
      </c>
      <c r="I113" s="38" t="s">
        <v>2030</v>
      </c>
      <c r="J113" s="22">
        <f>COUNTA('Team Wise'!D326:D328)</f>
        <v>3</v>
      </c>
      <c r="K113" s="22">
        <f>COUNTIF('Team Wise'!K326:K328,"Present")</f>
        <v>0</v>
      </c>
      <c r="L113" s="14"/>
      <c r="M113" s="14"/>
      <c r="N113" s="14"/>
      <c r="O113" s="14"/>
      <c r="P113" s="22" t="str">
        <f t="shared" si="3"/>
        <v/>
      </c>
      <c r="Q113" s="39" t="str">
        <f t="shared" si="4"/>
        <v/>
      </c>
      <c r="R113" s="22" t="str">
        <f t="shared" si="5"/>
        <v/>
      </c>
      <c r="S113" s="37"/>
    </row>
    <row r="114" spans="1:19" ht="44.25" customHeight="1" x14ac:dyDescent="0.35">
      <c r="A114" s="12">
        <v>109</v>
      </c>
      <c r="B114" s="12" t="s">
        <v>920</v>
      </c>
      <c r="C114" s="11" t="s">
        <v>921</v>
      </c>
      <c r="D114" s="11" t="s">
        <v>20</v>
      </c>
      <c r="E114" s="11" t="s">
        <v>2031</v>
      </c>
      <c r="F114" s="11" t="s">
        <v>17</v>
      </c>
      <c r="G114" s="11" t="s">
        <v>92</v>
      </c>
      <c r="H114" s="11" t="s">
        <v>55</v>
      </c>
      <c r="I114" s="35" t="s">
        <v>2032</v>
      </c>
      <c r="J114" s="12">
        <f>COUNTA('Team Wise'!D329:D331)</f>
        <v>3</v>
      </c>
      <c r="K114" s="12">
        <f>COUNTIF('Team Wise'!K329:K331,"Present")</f>
        <v>0</v>
      </c>
      <c r="L114" s="14"/>
      <c r="M114" s="14"/>
      <c r="N114" s="14"/>
      <c r="O114" s="14"/>
      <c r="P114" s="12" t="str">
        <f t="shared" si="3"/>
        <v/>
      </c>
      <c r="Q114" s="36" t="str">
        <f t="shared" si="4"/>
        <v/>
      </c>
      <c r="R114" s="12" t="str">
        <f t="shared" si="5"/>
        <v/>
      </c>
      <c r="S114" s="37"/>
    </row>
    <row r="115" spans="1:19" ht="44.25" customHeight="1" x14ac:dyDescent="0.35">
      <c r="A115" s="22">
        <v>110</v>
      </c>
      <c r="B115" s="22" t="s">
        <v>928</v>
      </c>
      <c r="C115" s="21" t="s">
        <v>929</v>
      </c>
      <c r="D115" s="21" t="s">
        <v>20</v>
      </c>
      <c r="E115" s="21" t="s">
        <v>2033</v>
      </c>
      <c r="F115" s="21" t="s">
        <v>17</v>
      </c>
      <c r="G115" s="21" t="s">
        <v>42</v>
      </c>
      <c r="H115" s="21" t="s">
        <v>31</v>
      </c>
      <c r="I115" s="38" t="s">
        <v>2034</v>
      </c>
      <c r="J115" s="22">
        <f>COUNTA('Team Wise'!D332:D334)</f>
        <v>3</v>
      </c>
      <c r="K115" s="22">
        <f>COUNTIF('Team Wise'!K332:K334,"Present")</f>
        <v>0</v>
      </c>
      <c r="L115" s="14"/>
      <c r="M115" s="14"/>
      <c r="N115" s="14"/>
      <c r="O115" s="14"/>
      <c r="P115" s="22" t="str">
        <f t="shared" si="3"/>
        <v/>
      </c>
      <c r="Q115" s="39" t="str">
        <f t="shared" si="4"/>
        <v/>
      </c>
      <c r="R115" s="22" t="str">
        <f t="shared" si="5"/>
        <v/>
      </c>
      <c r="S115" s="37"/>
    </row>
    <row r="116" spans="1:19" ht="44.25" customHeight="1" x14ac:dyDescent="0.35">
      <c r="A116" s="12">
        <v>111</v>
      </c>
      <c r="B116" s="12" t="s">
        <v>936</v>
      </c>
      <c r="C116" s="11" t="s">
        <v>937</v>
      </c>
      <c r="D116" s="11" t="s">
        <v>20</v>
      </c>
      <c r="E116" s="11" t="s">
        <v>2035</v>
      </c>
      <c r="F116" s="11" t="s">
        <v>133</v>
      </c>
      <c r="G116" s="11" t="s">
        <v>92</v>
      </c>
      <c r="H116" s="11" t="s">
        <v>55</v>
      </c>
      <c r="I116" s="35" t="s">
        <v>2036</v>
      </c>
      <c r="J116" s="12">
        <f>COUNTA('Team Wise'!D335:D337)</f>
        <v>3</v>
      </c>
      <c r="K116" s="12">
        <f>COUNTIF('Team Wise'!K335:K337,"Present")</f>
        <v>0</v>
      </c>
      <c r="L116" s="14"/>
      <c r="M116" s="14"/>
      <c r="N116" s="14"/>
      <c r="O116" s="14"/>
      <c r="P116" s="12" t="str">
        <f t="shared" si="3"/>
        <v/>
      </c>
      <c r="Q116" s="36" t="str">
        <f t="shared" si="4"/>
        <v/>
      </c>
      <c r="R116" s="12" t="str">
        <f t="shared" si="5"/>
        <v/>
      </c>
      <c r="S116" s="37"/>
    </row>
    <row r="117" spans="1:19" ht="44.25" customHeight="1" x14ac:dyDescent="0.35">
      <c r="A117" s="22">
        <v>112</v>
      </c>
      <c r="B117" s="22" t="s">
        <v>944</v>
      </c>
      <c r="C117" s="21" t="s">
        <v>945</v>
      </c>
      <c r="D117" s="21" t="s">
        <v>20</v>
      </c>
      <c r="E117" s="21" t="s">
        <v>2037</v>
      </c>
      <c r="F117" s="21" t="s">
        <v>218</v>
      </c>
      <c r="G117" s="21" t="s">
        <v>2038</v>
      </c>
      <c r="H117" s="21" t="s">
        <v>55</v>
      </c>
      <c r="I117" s="38" t="s">
        <v>2039</v>
      </c>
      <c r="J117" s="22">
        <f>COUNTA('Team Wise'!D338:D340)</f>
        <v>3</v>
      </c>
      <c r="K117" s="22">
        <f>COUNTIF('Team Wise'!K338:K340,"Present")</f>
        <v>0</v>
      </c>
      <c r="L117" s="14"/>
      <c r="M117" s="14"/>
      <c r="N117" s="14"/>
      <c r="O117" s="14"/>
      <c r="P117" s="22" t="str">
        <f t="shared" si="3"/>
        <v/>
      </c>
      <c r="Q117" s="39" t="str">
        <f t="shared" si="4"/>
        <v/>
      </c>
      <c r="R117" s="22" t="str">
        <f t="shared" si="5"/>
        <v/>
      </c>
      <c r="S117" s="37"/>
    </row>
    <row r="118" spans="1:19" ht="71.25" customHeight="1" x14ac:dyDescent="0.35">
      <c r="A118" s="12">
        <v>113</v>
      </c>
      <c r="B118" s="12" t="s">
        <v>952</v>
      </c>
      <c r="C118" s="11" t="s">
        <v>953</v>
      </c>
      <c r="D118" s="11" t="s">
        <v>20</v>
      </c>
      <c r="E118" s="11" t="s">
        <v>2040</v>
      </c>
      <c r="F118" s="11" t="s">
        <v>2041</v>
      </c>
      <c r="G118" s="11" t="s">
        <v>92</v>
      </c>
      <c r="H118" s="11" t="s">
        <v>31</v>
      </c>
      <c r="I118" s="35" t="s">
        <v>2042</v>
      </c>
      <c r="J118" s="12">
        <f>COUNTA('Team Wise'!D341:D343)</f>
        <v>3</v>
      </c>
      <c r="K118" s="12">
        <f>COUNTIF('Team Wise'!K341:K343,"Present")</f>
        <v>0</v>
      </c>
      <c r="L118" s="14"/>
      <c r="M118" s="14"/>
      <c r="N118" s="14"/>
      <c r="O118" s="14"/>
      <c r="P118" s="12" t="str">
        <f t="shared" si="3"/>
        <v/>
      </c>
      <c r="Q118" s="36" t="str">
        <f t="shared" si="4"/>
        <v/>
      </c>
      <c r="R118" s="12" t="str">
        <f t="shared" si="5"/>
        <v/>
      </c>
      <c r="S118" s="37"/>
    </row>
    <row r="119" spans="1:19" ht="44.25" customHeight="1" x14ac:dyDescent="0.35">
      <c r="A119" s="22">
        <v>114</v>
      </c>
      <c r="B119" s="22" t="s">
        <v>961</v>
      </c>
      <c r="C119" s="21" t="s">
        <v>962</v>
      </c>
      <c r="D119" s="21" t="s">
        <v>20</v>
      </c>
      <c r="E119" s="21" t="s">
        <v>2043</v>
      </c>
      <c r="F119" s="21" t="s">
        <v>17</v>
      </c>
      <c r="G119" s="21" t="s">
        <v>1789</v>
      </c>
      <c r="H119" s="21" t="s">
        <v>55</v>
      </c>
      <c r="I119" s="38" t="s">
        <v>2044</v>
      </c>
      <c r="J119" s="22">
        <f>COUNTA('Team Wise'!D344:D346)</f>
        <v>3</v>
      </c>
      <c r="K119" s="22">
        <f>COUNTIF('Team Wise'!K344:K346,"Present")</f>
        <v>0</v>
      </c>
      <c r="L119" s="14"/>
      <c r="M119" s="14"/>
      <c r="N119" s="14"/>
      <c r="O119" s="14"/>
      <c r="P119" s="22" t="str">
        <f t="shared" si="3"/>
        <v/>
      </c>
      <c r="Q119" s="39" t="str">
        <f t="shared" si="4"/>
        <v/>
      </c>
      <c r="R119" s="22" t="str">
        <f t="shared" si="5"/>
        <v/>
      </c>
      <c r="S119" s="37"/>
    </row>
    <row r="120" spans="1:19" ht="44.25" customHeight="1" x14ac:dyDescent="0.35">
      <c r="A120" s="12">
        <v>115</v>
      </c>
      <c r="B120" s="12" t="s">
        <v>969</v>
      </c>
      <c r="C120" s="11" t="s">
        <v>970</v>
      </c>
      <c r="D120" s="11" t="s">
        <v>20</v>
      </c>
      <c r="E120" s="11" t="s">
        <v>2045</v>
      </c>
      <c r="F120" s="11" t="s">
        <v>234</v>
      </c>
      <c r="G120" s="11" t="s">
        <v>294</v>
      </c>
      <c r="H120" s="11" t="s">
        <v>55</v>
      </c>
      <c r="I120" s="35" t="s">
        <v>2046</v>
      </c>
      <c r="J120" s="12">
        <f>COUNTA('Team Wise'!D347:D349)</f>
        <v>3</v>
      </c>
      <c r="K120" s="12">
        <f>COUNTIF('Team Wise'!K347:K349,"Present")</f>
        <v>0</v>
      </c>
      <c r="L120" s="14"/>
      <c r="M120" s="14"/>
      <c r="N120" s="14"/>
      <c r="O120" s="14"/>
      <c r="P120" s="12" t="str">
        <f t="shared" si="3"/>
        <v/>
      </c>
      <c r="Q120" s="36" t="str">
        <f t="shared" si="4"/>
        <v/>
      </c>
      <c r="R120" s="12" t="str">
        <f t="shared" si="5"/>
        <v/>
      </c>
      <c r="S120" s="37"/>
    </row>
    <row r="121" spans="1:19" ht="44.25" customHeight="1" x14ac:dyDescent="0.35">
      <c r="A121" s="22">
        <v>116</v>
      </c>
      <c r="B121" s="22" t="s">
        <v>977</v>
      </c>
      <c r="C121" s="21" t="s">
        <v>978</v>
      </c>
      <c r="D121" s="21" t="s">
        <v>20</v>
      </c>
      <c r="E121" s="21" t="s">
        <v>2047</v>
      </c>
      <c r="F121" s="21" t="s">
        <v>2048</v>
      </c>
      <c r="G121" s="21" t="s">
        <v>1800</v>
      </c>
      <c r="H121" s="21" t="s">
        <v>55</v>
      </c>
      <c r="I121" s="38" t="s">
        <v>2049</v>
      </c>
      <c r="J121" s="22">
        <f>COUNTA('Team Wise'!D350:D352)</f>
        <v>3</v>
      </c>
      <c r="K121" s="22">
        <f>COUNTIF('Team Wise'!K350:K352,"Present")</f>
        <v>0</v>
      </c>
      <c r="L121" s="14"/>
      <c r="M121" s="14"/>
      <c r="N121" s="14"/>
      <c r="O121" s="14"/>
      <c r="P121" s="22" t="str">
        <f t="shared" si="3"/>
        <v/>
      </c>
      <c r="Q121" s="39" t="str">
        <f t="shared" si="4"/>
        <v/>
      </c>
      <c r="R121" s="22" t="str">
        <f t="shared" si="5"/>
        <v/>
      </c>
      <c r="S121" s="37"/>
    </row>
    <row r="122" spans="1:19" ht="44.25" customHeight="1" x14ac:dyDescent="0.35">
      <c r="A122" s="12">
        <v>117</v>
      </c>
      <c r="B122" s="12" t="s">
        <v>986</v>
      </c>
      <c r="C122" s="11" t="s">
        <v>987</v>
      </c>
      <c r="D122" s="11" t="s">
        <v>20</v>
      </c>
      <c r="E122" s="11" t="s">
        <v>2050</v>
      </c>
      <c r="F122" s="11" t="s">
        <v>293</v>
      </c>
      <c r="G122" s="11" t="s">
        <v>42</v>
      </c>
      <c r="H122" s="11" t="s">
        <v>31</v>
      </c>
      <c r="I122" s="35" t="s">
        <v>2051</v>
      </c>
      <c r="J122" s="12">
        <f>COUNTA('Team Wise'!D353:D355)</f>
        <v>3</v>
      </c>
      <c r="K122" s="12">
        <f>COUNTIF('Team Wise'!K353:K355,"Present")</f>
        <v>0</v>
      </c>
      <c r="L122" s="14"/>
      <c r="M122" s="14"/>
      <c r="N122" s="14"/>
      <c r="O122" s="14"/>
      <c r="P122" s="12" t="str">
        <f t="shared" si="3"/>
        <v/>
      </c>
      <c r="Q122" s="36" t="str">
        <f t="shared" si="4"/>
        <v/>
      </c>
      <c r="R122" s="12" t="str">
        <f t="shared" si="5"/>
        <v/>
      </c>
      <c r="S122" s="37"/>
    </row>
    <row r="123" spans="1:19" ht="44.25" customHeight="1" x14ac:dyDescent="0.35">
      <c r="A123" s="22">
        <v>118</v>
      </c>
      <c r="B123" s="22" t="s">
        <v>994</v>
      </c>
      <c r="C123" s="21" t="s">
        <v>995</v>
      </c>
      <c r="D123" s="21" t="s">
        <v>20</v>
      </c>
      <c r="E123" s="21" t="s">
        <v>2052</v>
      </c>
      <c r="F123" s="21" t="s">
        <v>17</v>
      </c>
      <c r="G123" s="21" t="s">
        <v>92</v>
      </c>
      <c r="H123" s="21" t="s">
        <v>31</v>
      </c>
      <c r="I123" s="38" t="s">
        <v>2053</v>
      </c>
      <c r="J123" s="22">
        <f>COUNTA('Team Wise'!D356:D358)</f>
        <v>3</v>
      </c>
      <c r="K123" s="22">
        <f>COUNTIF('Team Wise'!K356:K358,"Present")</f>
        <v>0</v>
      </c>
      <c r="L123" s="14"/>
      <c r="M123" s="14"/>
      <c r="N123" s="14"/>
      <c r="O123" s="14"/>
      <c r="P123" s="22" t="str">
        <f t="shared" si="3"/>
        <v/>
      </c>
      <c r="Q123" s="39" t="str">
        <f t="shared" si="4"/>
        <v/>
      </c>
      <c r="R123" s="22" t="str">
        <f t="shared" si="5"/>
        <v/>
      </c>
      <c r="S123" s="37"/>
    </row>
    <row r="124" spans="1:19" ht="44.25" customHeight="1" x14ac:dyDescent="0.35">
      <c r="A124" s="12">
        <v>119</v>
      </c>
      <c r="B124" s="12" t="s">
        <v>1002</v>
      </c>
      <c r="C124" s="11" t="s">
        <v>1003</v>
      </c>
      <c r="D124" s="11" t="s">
        <v>20</v>
      </c>
      <c r="E124" s="11" t="s">
        <v>2054</v>
      </c>
      <c r="F124" s="11" t="s">
        <v>17</v>
      </c>
      <c r="G124" s="11" t="s">
        <v>42</v>
      </c>
      <c r="H124" s="11" t="s">
        <v>31</v>
      </c>
      <c r="I124" s="35" t="s">
        <v>2055</v>
      </c>
      <c r="J124" s="12">
        <f>COUNTA('Team Wise'!D359:D361)</f>
        <v>3</v>
      </c>
      <c r="K124" s="12">
        <f>COUNTIF('Team Wise'!K359:K361,"Present")</f>
        <v>0</v>
      </c>
      <c r="L124" s="14"/>
      <c r="M124" s="14"/>
      <c r="N124" s="14"/>
      <c r="O124" s="14"/>
      <c r="P124" s="12" t="str">
        <f t="shared" si="3"/>
        <v/>
      </c>
      <c r="Q124" s="36" t="str">
        <f t="shared" si="4"/>
        <v/>
      </c>
      <c r="R124" s="12" t="str">
        <f t="shared" si="5"/>
        <v/>
      </c>
      <c r="S124" s="37"/>
    </row>
    <row r="125" spans="1:19" ht="44.25" customHeight="1" x14ac:dyDescent="0.35">
      <c r="A125" s="22">
        <v>120</v>
      </c>
      <c r="B125" s="22" t="s">
        <v>1010</v>
      </c>
      <c r="C125" s="21" t="s">
        <v>1011</v>
      </c>
      <c r="D125" s="21" t="s">
        <v>20</v>
      </c>
      <c r="E125" s="21" t="s">
        <v>2056</v>
      </c>
      <c r="F125" s="21" t="s">
        <v>17</v>
      </c>
      <c r="G125" s="21" t="s">
        <v>300</v>
      </c>
      <c r="H125" s="21" t="s">
        <v>19</v>
      </c>
      <c r="I125" s="38" t="s">
        <v>2057</v>
      </c>
      <c r="J125" s="22">
        <f>COUNTA('Team Wise'!D362:D364)</f>
        <v>3</v>
      </c>
      <c r="K125" s="22">
        <f>COUNTIF('Team Wise'!K362:K364,"Present")</f>
        <v>0</v>
      </c>
      <c r="L125" s="14"/>
      <c r="M125" s="14"/>
      <c r="N125" s="14"/>
      <c r="O125" s="14"/>
      <c r="P125" s="22" t="str">
        <f t="shared" si="3"/>
        <v/>
      </c>
      <c r="Q125" s="39" t="str">
        <f t="shared" si="4"/>
        <v/>
      </c>
      <c r="R125" s="22" t="str">
        <f t="shared" si="5"/>
        <v/>
      </c>
      <c r="S125" s="37"/>
    </row>
    <row r="126" spans="1:19" ht="44.25" customHeight="1" x14ac:dyDescent="0.35">
      <c r="A126" s="12">
        <v>121</v>
      </c>
      <c r="B126" s="12" t="s">
        <v>1018</v>
      </c>
      <c r="C126" s="11" t="s">
        <v>1019</v>
      </c>
      <c r="D126" s="11" t="s">
        <v>20</v>
      </c>
      <c r="E126" s="11" t="s">
        <v>2058</v>
      </c>
      <c r="F126" s="11" t="s">
        <v>17</v>
      </c>
      <c r="G126" s="11" t="s">
        <v>92</v>
      </c>
      <c r="H126" s="11" t="s">
        <v>55</v>
      </c>
      <c r="I126" s="35" t="s">
        <v>2059</v>
      </c>
      <c r="J126" s="12">
        <f>COUNTA('Team Wise'!D365:D367)</f>
        <v>3</v>
      </c>
      <c r="K126" s="12">
        <f>COUNTIF('Team Wise'!K365:K367,"Present")</f>
        <v>0</v>
      </c>
      <c r="L126" s="14"/>
      <c r="M126" s="14"/>
      <c r="N126" s="14"/>
      <c r="O126" s="14"/>
      <c r="P126" s="12" t="str">
        <f t="shared" si="3"/>
        <v/>
      </c>
      <c r="Q126" s="36" t="str">
        <f t="shared" si="4"/>
        <v/>
      </c>
      <c r="R126" s="12" t="str">
        <f t="shared" si="5"/>
        <v/>
      </c>
      <c r="S126" s="37"/>
    </row>
    <row r="127" spans="1:19" ht="44.25" customHeight="1" x14ac:dyDescent="0.35">
      <c r="A127" s="22">
        <v>122</v>
      </c>
      <c r="B127" s="22" t="s">
        <v>1026</v>
      </c>
      <c r="C127" s="21" t="s">
        <v>1027</v>
      </c>
      <c r="D127" s="21" t="s">
        <v>20</v>
      </c>
      <c r="E127" s="21" t="s">
        <v>2060</v>
      </c>
      <c r="F127" s="21" t="s">
        <v>17</v>
      </c>
      <c r="G127" s="21" t="s">
        <v>42</v>
      </c>
      <c r="H127" s="21" t="s">
        <v>31</v>
      </c>
      <c r="I127" s="38" t="s">
        <v>2061</v>
      </c>
      <c r="J127" s="22">
        <f>COUNTA('Team Wise'!D368:D370)</f>
        <v>3</v>
      </c>
      <c r="K127" s="22">
        <f>COUNTIF('Team Wise'!K368:K370,"Present")</f>
        <v>0</v>
      </c>
      <c r="L127" s="14"/>
      <c r="M127" s="14"/>
      <c r="N127" s="14"/>
      <c r="O127" s="14"/>
      <c r="P127" s="22" t="str">
        <f t="shared" si="3"/>
        <v/>
      </c>
      <c r="Q127" s="39" t="str">
        <f t="shared" si="4"/>
        <v/>
      </c>
      <c r="R127" s="22" t="str">
        <f t="shared" si="5"/>
        <v/>
      </c>
      <c r="S127" s="37"/>
    </row>
    <row r="128" spans="1:19" ht="84.75" customHeight="1" x14ac:dyDescent="0.35">
      <c r="A128" s="12">
        <v>123</v>
      </c>
      <c r="B128" s="12" t="s">
        <v>1034</v>
      </c>
      <c r="C128" s="11" t="s">
        <v>1035</v>
      </c>
      <c r="D128" s="11" t="s">
        <v>20</v>
      </c>
      <c r="E128" s="11" t="s">
        <v>2062</v>
      </c>
      <c r="F128" s="11" t="s">
        <v>2063</v>
      </c>
      <c r="G128" s="11" t="s">
        <v>2064</v>
      </c>
      <c r="H128" s="11" t="s">
        <v>31</v>
      </c>
      <c r="I128" s="35" t="s">
        <v>2065</v>
      </c>
      <c r="J128" s="12">
        <f>COUNTA('Team Wise'!D371:D373)</f>
        <v>3</v>
      </c>
      <c r="K128" s="12">
        <f>COUNTIF('Team Wise'!K371:K373,"Present")</f>
        <v>0</v>
      </c>
      <c r="L128" s="14"/>
      <c r="M128" s="14"/>
      <c r="N128" s="14"/>
      <c r="O128" s="14"/>
      <c r="P128" s="12" t="str">
        <f t="shared" si="3"/>
        <v/>
      </c>
      <c r="Q128" s="36" t="str">
        <f t="shared" si="4"/>
        <v/>
      </c>
      <c r="R128" s="12" t="str">
        <f t="shared" si="5"/>
        <v/>
      </c>
      <c r="S128" s="37"/>
    </row>
    <row r="129" spans="1:19" ht="44.25" customHeight="1" x14ac:dyDescent="0.35">
      <c r="A129" s="22">
        <v>124</v>
      </c>
      <c r="B129" s="22" t="s">
        <v>1043</v>
      </c>
      <c r="C129" s="21" t="s">
        <v>1044</v>
      </c>
      <c r="D129" s="21" t="s">
        <v>20</v>
      </c>
      <c r="E129" s="21" t="s">
        <v>2066</v>
      </c>
      <c r="F129" s="21" t="s">
        <v>17</v>
      </c>
      <c r="G129" s="21" t="s">
        <v>42</v>
      </c>
      <c r="H129" s="21" t="s">
        <v>31</v>
      </c>
      <c r="I129" s="38" t="s">
        <v>2067</v>
      </c>
      <c r="J129" s="22">
        <f>COUNTA('Team Wise'!D374:D376)</f>
        <v>3</v>
      </c>
      <c r="K129" s="22">
        <f>COUNTIF('Team Wise'!K374:K376,"Present")</f>
        <v>0</v>
      </c>
      <c r="L129" s="14"/>
      <c r="M129" s="14"/>
      <c r="N129" s="14"/>
      <c r="O129" s="14"/>
      <c r="P129" s="22" t="str">
        <f t="shared" si="3"/>
        <v/>
      </c>
      <c r="Q129" s="39" t="str">
        <f t="shared" si="4"/>
        <v/>
      </c>
      <c r="R129" s="22" t="str">
        <f t="shared" si="5"/>
        <v/>
      </c>
      <c r="S129" s="37"/>
    </row>
    <row r="130" spans="1:19" ht="44.25" customHeight="1" x14ac:dyDescent="0.35">
      <c r="A130" s="12">
        <v>125</v>
      </c>
      <c r="B130" s="12" t="s">
        <v>1051</v>
      </c>
      <c r="C130" s="11" t="s">
        <v>1052</v>
      </c>
      <c r="D130" s="11" t="s">
        <v>20</v>
      </c>
      <c r="E130" s="11" t="s">
        <v>2068</v>
      </c>
      <c r="F130" s="11" t="s">
        <v>17</v>
      </c>
      <c r="G130" s="11" t="s">
        <v>92</v>
      </c>
      <c r="H130" s="11" t="s">
        <v>55</v>
      </c>
      <c r="I130" s="35" t="s">
        <v>2069</v>
      </c>
      <c r="J130" s="12">
        <f>COUNTA('Team Wise'!D377:D379)</f>
        <v>3</v>
      </c>
      <c r="K130" s="12">
        <f>COUNTIF('Team Wise'!K377:K379,"Present")</f>
        <v>0</v>
      </c>
      <c r="L130" s="14"/>
      <c r="M130" s="14"/>
      <c r="N130" s="14"/>
      <c r="O130" s="14"/>
      <c r="P130" s="12" t="str">
        <f t="shared" si="3"/>
        <v/>
      </c>
      <c r="Q130" s="36" t="str">
        <f t="shared" si="4"/>
        <v/>
      </c>
      <c r="R130" s="12" t="str">
        <f t="shared" si="5"/>
        <v/>
      </c>
      <c r="S130" s="37"/>
    </row>
    <row r="131" spans="1:19" ht="44.25" customHeight="1" x14ac:dyDescent="0.35">
      <c r="A131" s="22">
        <v>126</v>
      </c>
      <c r="B131" s="22" t="s">
        <v>1059</v>
      </c>
      <c r="C131" s="21" t="s">
        <v>1060</v>
      </c>
      <c r="D131" s="21" t="s">
        <v>20</v>
      </c>
      <c r="E131" s="21" t="s">
        <v>2070</v>
      </c>
      <c r="F131" s="21" t="s">
        <v>17</v>
      </c>
      <c r="G131" s="21" t="s">
        <v>18</v>
      </c>
      <c r="H131" s="21" t="s">
        <v>19</v>
      </c>
      <c r="I131" s="38" t="s">
        <v>2071</v>
      </c>
      <c r="J131" s="22">
        <f>COUNTA('Team Wise'!D380:D382)</f>
        <v>3</v>
      </c>
      <c r="K131" s="22">
        <f>COUNTIF('Team Wise'!K380:K382,"Present")</f>
        <v>0</v>
      </c>
      <c r="L131" s="14"/>
      <c r="M131" s="14"/>
      <c r="N131" s="14"/>
      <c r="O131" s="14"/>
      <c r="P131" s="22" t="str">
        <f t="shared" si="3"/>
        <v/>
      </c>
      <c r="Q131" s="39" t="str">
        <f t="shared" si="4"/>
        <v/>
      </c>
      <c r="R131" s="22" t="str">
        <f t="shared" si="5"/>
        <v/>
      </c>
      <c r="S131" s="37"/>
    </row>
    <row r="132" spans="1:19" ht="44.25" customHeight="1" x14ac:dyDescent="0.35">
      <c r="A132" s="12">
        <v>127</v>
      </c>
      <c r="B132" s="12" t="s">
        <v>1067</v>
      </c>
      <c r="C132" s="11" t="s">
        <v>1068</v>
      </c>
      <c r="D132" s="11" t="s">
        <v>20</v>
      </c>
      <c r="E132" s="11" t="s">
        <v>2072</v>
      </c>
      <c r="F132" s="11" t="s">
        <v>438</v>
      </c>
      <c r="G132" s="11" t="s">
        <v>92</v>
      </c>
      <c r="H132" s="11" t="s">
        <v>55</v>
      </c>
      <c r="I132" s="35" t="s">
        <v>2073</v>
      </c>
      <c r="J132" s="12">
        <f>COUNTA('Team Wise'!D383:D385)</f>
        <v>3</v>
      </c>
      <c r="K132" s="12">
        <f>COUNTIF('Team Wise'!K383:K385,"Present")</f>
        <v>0</v>
      </c>
      <c r="L132" s="14"/>
      <c r="M132" s="14"/>
      <c r="N132" s="14"/>
      <c r="O132" s="14"/>
      <c r="P132" s="12" t="str">
        <f t="shared" si="3"/>
        <v/>
      </c>
      <c r="Q132" s="36" t="str">
        <f t="shared" si="4"/>
        <v/>
      </c>
      <c r="R132" s="12" t="str">
        <f t="shared" si="5"/>
        <v/>
      </c>
      <c r="S132" s="37"/>
    </row>
    <row r="133" spans="1:19" ht="44.25" customHeight="1" x14ac:dyDescent="0.35">
      <c r="A133" s="22">
        <v>128</v>
      </c>
      <c r="B133" s="22" t="s">
        <v>1075</v>
      </c>
      <c r="C133" s="21" t="s">
        <v>1076</v>
      </c>
      <c r="D133" s="21" t="s">
        <v>20</v>
      </c>
      <c r="E133" s="21" t="s">
        <v>2074</v>
      </c>
      <c r="F133" s="21" t="s">
        <v>167</v>
      </c>
      <c r="G133" s="21" t="s">
        <v>30</v>
      </c>
      <c r="H133" s="21" t="s">
        <v>31</v>
      </c>
      <c r="I133" s="38" t="s">
        <v>2075</v>
      </c>
      <c r="J133" s="22">
        <f>COUNTA('Team Wise'!D386:D388)</f>
        <v>3</v>
      </c>
      <c r="K133" s="22">
        <f>COUNTIF('Team Wise'!K386:K388,"Present")</f>
        <v>0</v>
      </c>
      <c r="L133" s="14"/>
      <c r="M133" s="14"/>
      <c r="N133" s="14"/>
      <c r="O133" s="14"/>
      <c r="P133" s="22" t="str">
        <f t="shared" si="3"/>
        <v/>
      </c>
      <c r="Q133" s="39" t="str">
        <f t="shared" si="4"/>
        <v/>
      </c>
      <c r="R133" s="22" t="str">
        <f t="shared" si="5"/>
        <v/>
      </c>
      <c r="S133" s="37"/>
    </row>
    <row r="134" spans="1:19" ht="44.25" customHeight="1" x14ac:dyDescent="0.35">
      <c r="A134" s="12">
        <v>129</v>
      </c>
      <c r="B134" s="12" t="s">
        <v>1083</v>
      </c>
      <c r="C134" s="11" t="s">
        <v>1084</v>
      </c>
      <c r="D134" s="11" t="s">
        <v>20</v>
      </c>
      <c r="E134" s="11" t="s">
        <v>2076</v>
      </c>
      <c r="F134" s="11" t="s">
        <v>17</v>
      </c>
      <c r="G134" s="11" t="s">
        <v>2077</v>
      </c>
      <c r="H134" s="11" t="s">
        <v>55</v>
      </c>
      <c r="I134" s="35" t="s">
        <v>2078</v>
      </c>
      <c r="J134" s="12">
        <f>COUNTA('Team Wise'!D389:D391)</f>
        <v>3</v>
      </c>
      <c r="K134" s="12">
        <f>COUNTIF('Team Wise'!K389:K391,"Present")</f>
        <v>0</v>
      </c>
      <c r="L134" s="14"/>
      <c r="M134" s="14"/>
      <c r="N134" s="14"/>
      <c r="O134" s="14"/>
      <c r="P134" s="12" t="str">
        <f t="shared" ref="P134:P197" si="6">IF(COUNT(L134:O134)=0,"",SUM(L134:O134))</f>
        <v/>
      </c>
      <c r="Q134" s="36" t="str">
        <f t="shared" ref="Q134:Q197" si="7">IF(P134="","",P134/$P$4)</f>
        <v/>
      </c>
      <c r="R134" s="12" t="str">
        <f t="shared" ref="R134:R197" si="8">IF(P134="","",COUNTIFS($D$6:$D$219,D134,$P$6:$P$219,"&gt;"&amp;P134)+1)</f>
        <v/>
      </c>
      <c r="S134" s="37"/>
    </row>
    <row r="135" spans="1:19" ht="84.75" customHeight="1" x14ac:dyDescent="0.35">
      <c r="A135" s="22">
        <v>130</v>
      </c>
      <c r="B135" s="22" t="s">
        <v>1091</v>
      </c>
      <c r="C135" s="21" t="s">
        <v>1092</v>
      </c>
      <c r="D135" s="21" t="s">
        <v>20</v>
      </c>
      <c r="E135" s="21" t="s">
        <v>2079</v>
      </c>
      <c r="F135" s="21" t="s">
        <v>2080</v>
      </c>
      <c r="G135" s="21" t="s">
        <v>2081</v>
      </c>
      <c r="H135" s="21" t="s">
        <v>1851</v>
      </c>
      <c r="I135" s="38" t="s">
        <v>2082</v>
      </c>
      <c r="J135" s="22">
        <f>COUNTA('Team Wise'!D392:D394)</f>
        <v>3</v>
      </c>
      <c r="K135" s="22">
        <f>COUNTIF('Team Wise'!K392:K394,"Present")</f>
        <v>0</v>
      </c>
      <c r="L135" s="14"/>
      <c r="M135" s="14"/>
      <c r="N135" s="14"/>
      <c r="O135" s="14"/>
      <c r="P135" s="22" t="str">
        <f t="shared" si="6"/>
        <v/>
      </c>
      <c r="Q135" s="39" t="str">
        <f t="shared" si="7"/>
        <v/>
      </c>
      <c r="R135" s="22" t="str">
        <f t="shared" si="8"/>
        <v/>
      </c>
      <c r="S135" s="37"/>
    </row>
    <row r="136" spans="1:19" ht="44.25" customHeight="1" x14ac:dyDescent="0.35">
      <c r="A136" s="12">
        <v>131</v>
      </c>
      <c r="B136" s="12" t="s">
        <v>1100</v>
      </c>
      <c r="C136" s="11" t="s">
        <v>1101</v>
      </c>
      <c r="D136" s="11" t="s">
        <v>20</v>
      </c>
      <c r="E136" s="11" t="s">
        <v>2083</v>
      </c>
      <c r="F136" s="11" t="s">
        <v>17</v>
      </c>
      <c r="G136" s="11" t="s">
        <v>30</v>
      </c>
      <c r="H136" s="11" t="s">
        <v>2084</v>
      </c>
      <c r="I136" s="35" t="s">
        <v>2085</v>
      </c>
      <c r="J136" s="12">
        <f>COUNTA('Team Wise'!D395:D397)</f>
        <v>3</v>
      </c>
      <c r="K136" s="12">
        <f>COUNTIF('Team Wise'!K395:K397,"Present")</f>
        <v>0</v>
      </c>
      <c r="L136" s="14"/>
      <c r="M136" s="14"/>
      <c r="N136" s="14"/>
      <c r="O136" s="14"/>
      <c r="P136" s="12" t="str">
        <f t="shared" si="6"/>
        <v/>
      </c>
      <c r="Q136" s="36" t="str">
        <f t="shared" si="7"/>
        <v/>
      </c>
      <c r="R136" s="12" t="str">
        <f t="shared" si="8"/>
        <v/>
      </c>
      <c r="S136" s="37"/>
    </row>
    <row r="137" spans="1:19" ht="44.25" customHeight="1" x14ac:dyDescent="0.35">
      <c r="A137" s="22">
        <v>132</v>
      </c>
      <c r="B137" s="22" t="s">
        <v>1108</v>
      </c>
      <c r="C137" s="21" t="s">
        <v>1109</v>
      </c>
      <c r="D137" s="21" t="s">
        <v>20</v>
      </c>
      <c r="E137" s="21" t="s">
        <v>2086</v>
      </c>
      <c r="F137" s="21" t="s">
        <v>17</v>
      </c>
      <c r="G137" s="21" t="s">
        <v>324</v>
      </c>
      <c r="H137" s="21" t="s">
        <v>31</v>
      </c>
      <c r="I137" s="38" t="s">
        <v>2087</v>
      </c>
      <c r="J137" s="22">
        <f>COUNTA('Team Wise'!D398:D400)</f>
        <v>3</v>
      </c>
      <c r="K137" s="22">
        <f>COUNTIF('Team Wise'!K398:K400,"Present")</f>
        <v>0</v>
      </c>
      <c r="L137" s="14"/>
      <c r="M137" s="14"/>
      <c r="N137" s="14"/>
      <c r="O137" s="14"/>
      <c r="P137" s="22" t="str">
        <f t="shared" si="6"/>
        <v/>
      </c>
      <c r="Q137" s="39" t="str">
        <f t="shared" si="7"/>
        <v/>
      </c>
      <c r="R137" s="22" t="str">
        <f t="shared" si="8"/>
        <v/>
      </c>
      <c r="S137" s="37"/>
    </row>
    <row r="138" spans="1:19" ht="44.25" customHeight="1" x14ac:dyDescent="0.35">
      <c r="A138" s="12">
        <v>133</v>
      </c>
      <c r="B138" s="12" t="s">
        <v>1116</v>
      </c>
      <c r="C138" s="11" t="s">
        <v>1117</v>
      </c>
      <c r="D138" s="11" t="s">
        <v>20</v>
      </c>
      <c r="E138" s="11" t="s">
        <v>2088</v>
      </c>
      <c r="F138" s="11" t="s">
        <v>17</v>
      </c>
      <c r="G138" s="11" t="s">
        <v>1899</v>
      </c>
      <c r="H138" s="11" t="s">
        <v>55</v>
      </c>
      <c r="I138" s="35" t="s">
        <v>2089</v>
      </c>
      <c r="J138" s="12">
        <f>COUNTA('Team Wise'!D401:D403)</f>
        <v>3</v>
      </c>
      <c r="K138" s="12">
        <f>COUNTIF('Team Wise'!K401:K403,"Present")</f>
        <v>0</v>
      </c>
      <c r="L138" s="14"/>
      <c r="M138" s="14"/>
      <c r="N138" s="14"/>
      <c r="O138" s="14"/>
      <c r="P138" s="12" t="str">
        <f t="shared" si="6"/>
        <v/>
      </c>
      <c r="Q138" s="36" t="str">
        <f t="shared" si="7"/>
        <v/>
      </c>
      <c r="R138" s="12" t="str">
        <f t="shared" si="8"/>
        <v/>
      </c>
      <c r="S138" s="37"/>
    </row>
    <row r="139" spans="1:19" ht="44.25" customHeight="1" x14ac:dyDescent="0.35">
      <c r="A139" s="22">
        <v>134</v>
      </c>
      <c r="B139" s="22" t="s">
        <v>1124</v>
      </c>
      <c r="C139" s="21" t="s">
        <v>1125</v>
      </c>
      <c r="D139" s="21" t="s">
        <v>20</v>
      </c>
      <c r="E139" s="21" t="s">
        <v>2090</v>
      </c>
      <c r="F139" s="21" t="s">
        <v>897</v>
      </c>
      <c r="G139" s="21" t="s">
        <v>92</v>
      </c>
      <c r="H139" s="21" t="s">
        <v>19</v>
      </c>
      <c r="I139" s="38" t="s">
        <v>2091</v>
      </c>
      <c r="J139" s="22">
        <f>COUNTA('Team Wise'!D404:D406)</f>
        <v>3</v>
      </c>
      <c r="K139" s="22">
        <f>COUNTIF('Team Wise'!K404:K406,"Present")</f>
        <v>0</v>
      </c>
      <c r="L139" s="14"/>
      <c r="M139" s="14"/>
      <c r="N139" s="14"/>
      <c r="O139" s="14"/>
      <c r="P139" s="22" t="str">
        <f t="shared" si="6"/>
        <v/>
      </c>
      <c r="Q139" s="39" t="str">
        <f t="shared" si="7"/>
        <v/>
      </c>
      <c r="R139" s="22" t="str">
        <f t="shared" si="8"/>
        <v/>
      </c>
      <c r="S139" s="37"/>
    </row>
    <row r="140" spans="1:19" ht="44.25" customHeight="1" x14ac:dyDescent="0.35">
      <c r="A140" s="12">
        <v>135</v>
      </c>
      <c r="B140" s="12" t="s">
        <v>1132</v>
      </c>
      <c r="C140" s="11" t="s">
        <v>1133</v>
      </c>
      <c r="D140" s="11" t="s">
        <v>20</v>
      </c>
      <c r="E140" s="11" t="s">
        <v>2092</v>
      </c>
      <c r="F140" s="11" t="s">
        <v>17</v>
      </c>
      <c r="G140" s="11" t="s">
        <v>92</v>
      </c>
      <c r="H140" s="11" t="s">
        <v>31</v>
      </c>
      <c r="I140" s="35" t="s">
        <v>2093</v>
      </c>
      <c r="J140" s="12">
        <f>COUNTA('Team Wise'!D407:D409)</f>
        <v>3</v>
      </c>
      <c r="K140" s="12">
        <f>COUNTIF('Team Wise'!K407:K409,"Present")</f>
        <v>0</v>
      </c>
      <c r="L140" s="14"/>
      <c r="M140" s="14"/>
      <c r="N140" s="14"/>
      <c r="O140" s="14"/>
      <c r="P140" s="12" t="str">
        <f t="shared" si="6"/>
        <v/>
      </c>
      <c r="Q140" s="36" t="str">
        <f t="shared" si="7"/>
        <v/>
      </c>
      <c r="R140" s="12" t="str">
        <f t="shared" si="8"/>
        <v/>
      </c>
      <c r="S140" s="37"/>
    </row>
    <row r="141" spans="1:19" ht="44.25" customHeight="1" x14ac:dyDescent="0.35">
      <c r="A141" s="22">
        <v>136</v>
      </c>
      <c r="B141" s="22" t="s">
        <v>1140</v>
      </c>
      <c r="C141" s="21" t="s">
        <v>1141</v>
      </c>
      <c r="D141" s="21" t="s">
        <v>20</v>
      </c>
      <c r="E141" s="21" t="s">
        <v>2094</v>
      </c>
      <c r="F141" s="21" t="s">
        <v>17</v>
      </c>
      <c r="G141" s="21" t="s">
        <v>2095</v>
      </c>
      <c r="H141" s="21" t="s">
        <v>31</v>
      </c>
      <c r="I141" s="38" t="s">
        <v>2096</v>
      </c>
      <c r="J141" s="22">
        <f>COUNTA('Team Wise'!D410:D412)</f>
        <v>3</v>
      </c>
      <c r="K141" s="22">
        <f>COUNTIF('Team Wise'!K410:K412,"Present")</f>
        <v>0</v>
      </c>
      <c r="L141" s="14"/>
      <c r="M141" s="14"/>
      <c r="N141" s="14"/>
      <c r="O141" s="14"/>
      <c r="P141" s="22" t="str">
        <f t="shared" si="6"/>
        <v/>
      </c>
      <c r="Q141" s="39" t="str">
        <f t="shared" si="7"/>
        <v/>
      </c>
      <c r="R141" s="22" t="str">
        <f t="shared" si="8"/>
        <v/>
      </c>
      <c r="S141" s="37"/>
    </row>
    <row r="142" spans="1:19" ht="44.25" customHeight="1" x14ac:dyDescent="0.35">
      <c r="A142" s="12">
        <v>137</v>
      </c>
      <c r="B142" s="12" t="s">
        <v>1148</v>
      </c>
      <c r="C142" s="11" t="s">
        <v>1149</v>
      </c>
      <c r="D142" s="11" t="s">
        <v>20</v>
      </c>
      <c r="E142" s="11" t="s">
        <v>2097</v>
      </c>
      <c r="F142" s="11" t="s">
        <v>17</v>
      </c>
      <c r="G142" s="11" t="s">
        <v>92</v>
      </c>
      <c r="H142" s="11" t="s">
        <v>193</v>
      </c>
      <c r="I142" s="35" t="s">
        <v>2098</v>
      </c>
      <c r="J142" s="12">
        <f>COUNTA('Team Wise'!D413:D415)</f>
        <v>3</v>
      </c>
      <c r="K142" s="12">
        <f>COUNTIF('Team Wise'!K413:K415,"Present")</f>
        <v>0</v>
      </c>
      <c r="L142" s="14"/>
      <c r="M142" s="14"/>
      <c r="N142" s="14"/>
      <c r="O142" s="14"/>
      <c r="P142" s="12" t="str">
        <f t="shared" si="6"/>
        <v/>
      </c>
      <c r="Q142" s="36" t="str">
        <f t="shared" si="7"/>
        <v/>
      </c>
      <c r="R142" s="12" t="str">
        <f t="shared" si="8"/>
        <v/>
      </c>
      <c r="S142" s="37"/>
    </row>
    <row r="143" spans="1:19" ht="30.75" customHeight="1" x14ac:dyDescent="0.35">
      <c r="A143" s="22">
        <v>138</v>
      </c>
      <c r="B143" s="22" t="s">
        <v>1156</v>
      </c>
      <c r="C143" s="21" t="s">
        <v>1157</v>
      </c>
      <c r="D143" s="21" t="s">
        <v>20</v>
      </c>
      <c r="E143" s="21" t="s">
        <v>2099</v>
      </c>
      <c r="F143" s="21" t="s">
        <v>17</v>
      </c>
      <c r="G143" s="21" t="s">
        <v>2100</v>
      </c>
      <c r="H143" s="21" t="s">
        <v>31</v>
      </c>
      <c r="I143" s="38" t="s">
        <v>2101</v>
      </c>
      <c r="J143" s="22">
        <f>COUNTA('Team Wise'!D416:D417)</f>
        <v>2</v>
      </c>
      <c r="K143" s="22">
        <f>COUNTIF('Team Wise'!K416:K417,"Present")</f>
        <v>0</v>
      </c>
      <c r="L143" s="14"/>
      <c r="M143" s="14"/>
      <c r="N143" s="14"/>
      <c r="O143" s="14"/>
      <c r="P143" s="22" t="str">
        <f t="shared" si="6"/>
        <v/>
      </c>
      <c r="Q143" s="39" t="str">
        <f t="shared" si="7"/>
        <v/>
      </c>
      <c r="R143" s="22" t="str">
        <f t="shared" si="8"/>
        <v/>
      </c>
      <c r="S143" s="37"/>
    </row>
    <row r="144" spans="1:19" ht="30.75" customHeight="1" x14ac:dyDescent="0.35">
      <c r="A144" s="12">
        <v>139</v>
      </c>
      <c r="B144" s="12" t="s">
        <v>1162</v>
      </c>
      <c r="C144" s="11" t="s">
        <v>1157</v>
      </c>
      <c r="D144" s="11" t="s">
        <v>20</v>
      </c>
      <c r="E144" s="11" t="s">
        <v>1163</v>
      </c>
      <c r="F144" s="11" t="s">
        <v>17</v>
      </c>
      <c r="G144" s="11" t="s">
        <v>30</v>
      </c>
      <c r="H144" s="11" t="s">
        <v>31</v>
      </c>
      <c r="I144" s="35" t="s">
        <v>1164</v>
      </c>
      <c r="J144" s="12">
        <f>COUNTA('Team Wise'!D418:D418)</f>
        <v>1</v>
      </c>
      <c r="K144" s="12">
        <f>COUNTIF('Team Wise'!K418:K418,"Present")</f>
        <v>0</v>
      </c>
      <c r="L144" s="14"/>
      <c r="M144" s="14"/>
      <c r="N144" s="14"/>
      <c r="O144" s="14"/>
      <c r="P144" s="12" t="str">
        <f t="shared" si="6"/>
        <v/>
      </c>
      <c r="Q144" s="36" t="str">
        <f t="shared" si="7"/>
        <v/>
      </c>
      <c r="R144" s="12" t="str">
        <f t="shared" si="8"/>
        <v/>
      </c>
      <c r="S144" s="37"/>
    </row>
    <row r="145" spans="1:19" ht="44.25" customHeight="1" x14ac:dyDescent="0.35">
      <c r="A145" s="22">
        <v>140</v>
      </c>
      <c r="B145" s="22" t="s">
        <v>1165</v>
      </c>
      <c r="C145" s="21" t="s">
        <v>1166</v>
      </c>
      <c r="D145" s="21" t="s">
        <v>20</v>
      </c>
      <c r="E145" s="21" t="s">
        <v>2102</v>
      </c>
      <c r="F145" s="21" t="s">
        <v>243</v>
      </c>
      <c r="G145" s="21" t="s">
        <v>92</v>
      </c>
      <c r="H145" s="21" t="s">
        <v>55</v>
      </c>
      <c r="I145" s="38" t="s">
        <v>2103</v>
      </c>
      <c r="J145" s="22">
        <f>COUNTA('Team Wise'!D419:D421)</f>
        <v>3</v>
      </c>
      <c r="K145" s="22">
        <f>COUNTIF('Team Wise'!K419:K421,"Present")</f>
        <v>0</v>
      </c>
      <c r="L145" s="14"/>
      <c r="M145" s="14"/>
      <c r="N145" s="14"/>
      <c r="O145" s="14"/>
      <c r="P145" s="22" t="str">
        <f t="shared" si="6"/>
        <v/>
      </c>
      <c r="Q145" s="39" t="str">
        <f t="shared" si="7"/>
        <v/>
      </c>
      <c r="R145" s="22" t="str">
        <f t="shared" si="8"/>
        <v/>
      </c>
      <c r="S145" s="37"/>
    </row>
    <row r="146" spans="1:19" ht="44.25" customHeight="1" x14ac:dyDescent="0.35">
      <c r="A146" s="12">
        <v>141</v>
      </c>
      <c r="B146" s="12" t="s">
        <v>1173</v>
      </c>
      <c r="C146" s="11" t="s">
        <v>1174</v>
      </c>
      <c r="D146" s="11" t="s">
        <v>20</v>
      </c>
      <c r="E146" s="11" t="s">
        <v>2104</v>
      </c>
      <c r="F146" s="11" t="s">
        <v>17</v>
      </c>
      <c r="G146" s="11" t="s">
        <v>2105</v>
      </c>
      <c r="H146" s="11" t="s">
        <v>55</v>
      </c>
      <c r="I146" s="35" t="s">
        <v>2106</v>
      </c>
      <c r="J146" s="12">
        <f>COUNTA('Team Wise'!D422:D424)</f>
        <v>3</v>
      </c>
      <c r="K146" s="12">
        <f>COUNTIF('Team Wise'!K422:K424,"Present")</f>
        <v>0</v>
      </c>
      <c r="L146" s="14"/>
      <c r="M146" s="14"/>
      <c r="N146" s="14"/>
      <c r="O146" s="14"/>
      <c r="P146" s="12" t="str">
        <f t="shared" si="6"/>
        <v/>
      </c>
      <c r="Q146" s="36" t="str">
        <f t="shared" si="7"/>
        <v/>
      </c>
      <c r="R146" s="12" t="str">
        <f t="shared" si="8"/>
        <v/>
      </c>
      <c r="S146" s="37"/>
    </row>
    <row r="147" spans="1:19" ht="44.25" customHeight="1" x14ac:dyDescent="0.35">
      <c r="A147" s="22">
        <v>142</v>
      </c>
      <c r="B147" s="22" t="s">
        <v>1181</v>
      </c>
      <c r="C147" s="21" t="s">
        <v>1182</v>
      </c>
      <c r="D147" s="21" t="s">
        <v>20</v>
      </c>
      <c r="E147" s="21" t="s">
        <v>2107</v>
      </c>
      <c r="F147" s="21" t="s">
        <v>17</v>
      </c>
      <c r="G147" s="21" t="s">
        <v>2108</v>
      </c>
      <c r="H147" s="21" t="s">
        <v>55</v>
      </c>
      <c r="I147" s="38" t="s">
        <v>2109</v>
      </c>
      <c r="J147" s="22">
        <f>COUNTA('Team Wise'!D425:D427)</f>
        <v>3</v>
      </c>
      <c r="K147" s="22">
        <f>COUNTIF('Team Wise'!K425:K427,"Present")</f>
        <v>0</v>
      </c>
      <c r="L147" s="14"/>
      <c r="M147" s="14"/>
      <c r="N147" s="14"/>
      <c r="O147" s="14"/>
      <c r="P147" s="22" t="str">
        <f t="shared" si="6"/>
        <v/>
      </c>
      <c r="Q147" s="39" t="str">
        <f t="shared" si="7"/>
        <v/>
      </c>
      <c r="R147" s="22" t="str">
        <f t="shared" si="8"/>
        <v/>
      </c>
      <c r="S147" s="37"/>
    </row>
    <row r="148" spans="1:19" ht="44.25" customHeight="1" x14ac:dyDescent="0.35">
      <c r="A148" s="12">
        <v>143</v>
      </c>
      <c r="B148" s="12" t="s">
        <v>1189</v>
      </c>
      <c r="C148" s="11" t="s">
        <v>1190</v>
      </c>
      <c r="D148" s="11" t="s">
        <v>20</v>
      </c>
      <c r="E148" s="11" t="s">
        <v>2110</v>
      </c>
      <c r="F148" s="11" t="s">
        <v>17</v>
      </c>
      <c r="G148" s="11" t="s">
        <v>42</v>
      </c>
      <c r="H148" s="11" t="s">
        <v>31</v>
      </c>
      <c r="I148" s="35" t="s">
        <v>2111</v>
      </c>
      <c r="J148" s="12">
        <f>COUNTA('Team Wise'!D428:D430)</f>
        <v>3</v>
      </c>
      <c r="K148" s="12">
        <f>COUNTIF('Team Wise'!K428:K430,"Present")</f>
        <v>0</v>
      </c>
      <c r="L148" s="14"/>
      <c r="M148" s="14"/>
      <c r="N148" s="14"/>
      <c r="O148" s="14"/>
      <c r="P148" s="12" t="str">
        <f t="shared" si="6"/>
        <v/>
      </c>
      <c r="Q148" s="36" t="str">
        <f t="shared" si="7"/>
        <v/>
      </c>
      <c r="R148" s="12" t="str">
        <f t="shared" si="8"/>
        <v/>
      </c>
      <c r="S148" s="37"/>
    </row>
    <row r="149" spans="1:19" ht="44.25" customHeight="1" x14ac:dyDescent="0.35">
      <c r="A149" s="22">
        <v>144</v>
      </c>
      <c r="B149" s="22" t="s">
        <v>1197</v>
      </c>
      <c r="C149" s="21" t="s">
        <v>1198</v>
      </c>
      <c r="D149" s="21" t="s">
        <v>20</v>
      </c>
      <c r="E149" s="21" t="s">
        <v>2112</v>
      </c>
      <c r="F149" s="21" t="s">
        <v>17</v>
      </c>
      <c r="G149" s="21" t="s">
        <v>92</v>
      </c>
      <c r="H149" s="21" t="s">
        <v>31</v>
      </c>
      <c r="I149" s="38" t="s">
        <v>2113</v>
      </c>
      <c r="J149" s="22">
        <f>COUNTA('Team Wise'!D431:D433)</f>
        <v>3</v>
      </c>
      <c r="K149" s="22">
        <f>COUNTIF('Team Wise'!K431:K433,"Present")</f>
        <v>0</v>
      </c>
      <c r="L149" s="14"/>
      <c r="M149" s="14"/>
      <c r="N149" s="14"/>
      <c r="O149" s="14"/>
      <c r="P149" s="22" t="str">
        <f t="shared" si="6"/>
        <v/>
      </c>
      <c r="Q149" s="39" t="str">
        <f t="shared" si="7"/>
        <v/>
      </c>
      <c r="R149" s="22" t="str">
        <f t="shared" si="8"/>
        <v/>
      </c>
      <c r="S149" s="37"/>
    </row>
    <row r="150" spans="1:19" ht="44.25" customHeight="1" x14ac:dyDescent="0.35">
      <c r="A150" s="12">
        <v>145</v>
      </c>
      <c r="B150" s="12" t="s">
        <v>1205</v>
      </c>
      <c r="C150" s="11" t="s">
        <v>1206</v>
      </c>
      <c r="D150" s="11" t="s">
        <v>20</v>
      </c>
      <c r="E150" s="11" t="s">
        <v>2114</v>
      </c>
      <c r="F150" s="11" t="s">
        <v>17</v>
      </c>
      <c r="G150" s="11" t="s">
        <v>2115</v>
      </c>
      <c r="H150" s="11" t="s">
        <v>31</v>
      </c>
      <c r="I150" s="35" t="s">
        <v>2116</v>
      </c>
      <c r="J150" s="12">
        <f>COUNTA('Team Wise'!D434:D436)</f>
        <v>3</v>
      </c>
      <c r="K150" s="12">
        <f>COUNTIF('Team Wise'!K434:K436,"Present")</f>
        <v>0</v>
      </c>
      <c r="L150" s="14"/>
      <c r="M150" s="14"/>
      <c r="N150" s="14"/>
      <c r="O150" s="14"/>
      <c r="P150" s="12" t="str">
        <f t="shared" si="6"/>
        <v/>
      </c>
      <c r="Q150" s="36" t="str">
        <f t="shared" si="7"/>
        <v/>
      </c>
      <c r="R150" s="12" t="str">
        <f t="shared" si="8"/>
        <v/>
      </c>
      <c r="S150" s="37"/>
    </row>
    <row r="151" spans="1:19" ht="44.25" customHeight="1" x14ac:dyDescent="0.35">
      <c r="A151" s="22">
        <v>146</v>
      </c>
      <c r="B151" s="22" t="s">
        <v>1213</v>
      </c>
      <c r="C151" s="21" t="s">
        <v>1214</v>
      </c>
      <c r="D151" s="21" t="s">
        <v>20</v>
      </c>
      <c r="E151" s="21" t="s">
        <v>2117</v>
      </c>
      <c r="F151" s="21" t="s">
        <v>17</v>
      </c>
      <c r="G151" s="21" t="s">
        <v>92</v>
      </c>
      <c r="H151" s="21" t="s">
        <v>31</v>
      </c>
      <c r="I151" s="38" t="s">
        <v>2118</v>
      </c>
      <c r="J151" s="22">
        <f>COUNTA('Team Wise'!D437:D439)</f>
        <v>3</v>
      </c>
      <c r="K151" s="22">
        <f>COUNTIF('Team Wise'!K437:K439,"Present")</f>
        <v>0</v>
      </c>
      <c r="L151" s="14"/>
      <c r="M151" s="14"/>
      <c r="N151" s="14"/>
      <c r="O151" s="14"/>
      <c r="P151" s="22" t="str">
        <f t="shared" si="6"/>
        <v/>
      </c>
      <c r="Q151" s="39" t="str">
        <f t="shared" si="7"/>
        <v/>
      </c>
      <c r="R151" s="22" t="str">
        <f t="shared" si="8"/>
        <v/>
      </c>
      <c r="S151" s="37"/>
    </row>
    <row r="152" spans="1:19" ht="44.25" customHeight="1" x14ac:dyDescent="0.35">
      <c r="A152" s="12">
        <v>147</v>
      </c>
      <c r="B152" s="12" t="s">
        <v>1221</v>
      </c>
      <c r="C152" s="11" t="s">
        <v>1222</v>
      </c>
      <c r="D152" s="11" t="s">
        <v>20</v>
      </c>
      <c r="E152" s="11" t="s">
        <v>2119</v>
      </c>
      <c r="F152" s="11" t="s">
        <v>17</v>
      </c>
      <c r="G152" s="11" t="s">
        <v>92</v>
      </c>
      <c r="H152" s="11" t="s">
        <v>31</v>
      </c>
      <c r="I152" s="35" t="s">
        <v>2120</v>
      </c>
      <c r="J152" s="12">
        <f>COUNTA('Team Wise'!D440:D442)</f>
        <v>3</v>
      </c>
      <c r="K152" s="12">
        <f>COUNTIF('Team Wise'!K440:K442,"Present")</f>
        <v>0</v>
      </c>
      <c r="L152" s="14"/>
      <c r="M152" s="14"/>
      <c r="N152" s="14"/>
      <c r="O152" s="14"/>
      <c r="P152" s="12" t="str">
        <f t="shared" si="6"/>
        <v/>
      </c>
      <c r="Q152" s="36" t="str">
        <f t="shared" si="7"/>
        <v/>
      </c>
      <c r="R152" s="12" t="str">
        <f t="shared" si="8"/>
        <v/>
      </c>
      <c r="S152" s="37"/>
    </row>
    <row r="153" spans="1:19" ht="44.25" customHeight="1" x14ac:dyDescent="0.35">
      <c r="A153" s="22">
        <v>148</v>
      </c>
      <c r="B153" s="22" t="s">
        <v>1229</v>
      </c>
      <c r="C153" s="21" t="s">
        <v>1230</v>
      </c>
      <c r="D153" s="21" t="s">
        <v>20</v>
      </c>
      <c r="E153" s="21" t="s">
        <v>2121</v>
      </c>
      <c r="F153" s="21" t="s">
        <v>167</v>
      </c>
      <c r="G153" s="21" t="s">
        <v>92</v>
      </c>
      <c r="H153" s="21" t="s">
        <v>55</v>
      </c>
      <c r="I153" s="38" t="s">
        <v>2122</v>
      </c>
      <c r="J153" s="22">
        <f>COUNTA('Team Wise'!D443:D445)</f>
        <v>3</v>
      </c>
      <c r="K153" s="22">
        <f>COUNTIF('Team Wise'!K443:K445,"Present")</f>
        <v>0</v>
      </c>
      <c r="L153" s="14"/>
      <c r="M153" s="14"/>
      <c r="N153" s="14"/>
      <c r="O153" s="14"/>
      <c r="P153" s="22" t="str">
        <f t="shared" si="6"/>
        <v/>
      </c>
      <c r="Q153" s="39" t="str">
        <f t="shared" si="7"/>
        <v/>
      </c>
      <c r="R153" s="22" t="str">
        <f t="shared" si="8"/>
        <v/>
      </c>
      <c r="S153" s="37"/>
    </row>
    <row r="154" spans="1:19" ht="44.25" customHeight="1" x14ac:dyDescent="0.35">
      <c r="A154" s="12">
        <v>149</v>
      </c>
      <c r="B154" s="12" t="s">
        <v>1237</v>
      </c>
      <c r="C154" s="11" t="s">
        <v>1238</v>
      </c>
      <c r="D154" s="11" t="s">
        <v>20</v>
      </c>
      <c r="E154" s="11" t="s">
        <v>2123</v>
      </c>
      <c r="F154" s="11" t="s">
        <v>17</v>
      </c>
      <c r="G154" s="11" t="s">
        <v>1800</v>
      </c>
      <c r="H154" s="11" t="s">
        <v>55</v>
      </c>
      <c r="I154" s="35" t="s">
        <v>2124</v>
      </c>
      <c r="J154" s="12">
        <f>COUNTA('Team Wise'!D446:D448)</f>
        <v>3</v>
      </c>
      <c r="K154" s="12">
        <f>COUNTIF('Team Wise'!K446:K448,"Present")</f>
        <v>0</v>
      </c>
      <c r="L154" s="14"/>
      <c r="M154" s="14"/>
      <c r="N154" s="14"/>
      <c r="O154" s="14"/>
      <c r="P154" s="12" t="str">
        <f t="shared" si="6"/>
        <v/>
      </c>
      <c r="Q154" s="36" t="str">
        <f t="shared" si="7"/>
        <v/>
      </c>
      <c r="R154" s="12" t="str">
        <f t="shared" si="8"/>
        <v/>
      </c>
      <c r="S154" s="37"/>
    </row>
    <row r="155" spans="1:19" ht="44.25" customHeight="1" x14ac:dyDescent="0.35">
      <c r="A155" s="22">
        <v>150</v>
      </c>
      <c r="B155" s="22" t="s">
        <v>1245</v>
      </c>
      <c r="C155" s="21" t="s">
        <v>1246</v>
      </c>
      <c r="D155" s="21" t="s">
        <v>20</v>
      </c>
      <c r="E155" s="21" t="s">
        <v>2125</v>
      </c>
      <c r="F155" s="21" t="s">
        <v>17</v>
      </c>
      <c r="G155" s="21" t="s">
        <v>42</v>
      </c>
      <c r="H155" s="21" t="s">
        <v>31</v>
      </c>
      <c r="I155" s="38" t="s">
        <v>2126</v>
      </c>
      <c r="J155" s="22">
        <f>COUNTA('Team Wise'!D449:D451)</f>
        <v>3</v>
      </c>
      <c r="K155" s="22">
        <f>COUNTIF('Team Wise'!K449:K451,"Present")</f>
        <v>0</v>
      </c>
      <c r="L155" s="14"/>
      <c r="M155" s="14"/>
      <c r="N155" s="14"/>
      <c r="O155" s="14"/>
      <c r="P155" s="22" t="str">
        <f t="shared" si="6"/>
        <v/>
      </c>
      <c r="Q155" s="39" t="str">
        <f t="shared" si="7"/>
        <v/>
      </c>
      <c r="R155" s="22" t="str">
        <f t="shared" si="8"/>
        <v/>
      </c>
      <c r="S155" s="37"/>
    </row>
    <row r="156" spans="1:19" ht="44.25" customHeight="1" x14ac:dyDescent="0.35">
      <c r="A156" s="12">
        <v>151</v>
      </c>
      <c r="B156" s="12" t="s">
        <v>1253</v>
      </c>
      <c r="C156" s="11" t="s">
        <v>1254</v>
      </c>
      <c r="D156" s="11" t="s">
        <v>20</v>
      </c>
      <c r="E156" s="11" t="s">
        <v>2127</v>
      </c>
      <c r="F156" s="11" t="s">
        <v>167</v>
      </c>
      <c r="G156" s="11" t="s">
        <v>2105</v>
      </c>
      <c r="H156" s="11" t="s">
        <v>1851</v>
      </c>
      <c r="I156" s="35" t="s">
        <v>2128</v>
      </c>
      <c r="J156" s="12">
        <f>COUNTA('Team Wise'!D452:D454)</f>
        <v>3</v>
      </c>
      <c r="K156" s="12">
        <f>COUNTIF('Team Wise'!K452:K454,"Present")</f>
        <v>0</v>
      </c>
      <c r="L156" s="14"/>
      <c r="M156" s="14"/>
      <c r="N156" s="14"/>
      <c r="O156" s="14"/>
      <c r="P156" s="12" t="str">
        <f t="shared" si="6"/>
        <v/>
      </c>
      <c r="Q156" s="36" t="str">
        <f t="shared" si="7"/>
        <v/>
      </c>
      <c r="R156" s="12" t="str">
        <f t="shared" si="8"/>
        <v/>
      </c>
      <c r="S156" s="37"/>
    </row>
    <row r="157" spans="1:19" ht="44.25" customHeight="1" x14ac:dyDescent="0.35">
      <c r="A157" s="22">
        <v>152</v>
      </c>
      <c r="B157" s="22" t="s">
        <v>1261</v>
      </c>
      <c r="C157" s="21" t="s">
        <v>1262</v>
      </c>
      <c r="D157" s="21" t="s">
        <v>20</v>
      </c>
      <c r="E157" s="21" t="s">
        <v>2129</v>
      </c>
      <c r="F157" s="21" t="s">
        <v>1264</v>
      </c>
      <c r="G157" s="21" t="s">
        <v>30</v>
      </c>
      <c r="H157" s="21" t="s">
        <v>31</v>
      </c>
      <c r="I157" s="38" t="s">
        <v>2130</v>
      </c>
      <c r="J157" s="22">
        <f>COUNTA('Team Wise'!D455:D457)</f>
        <v>3</v>
      </c>
      <c r="K157" s="22">
        <f>COUNTIF('Team Wise'!K455:K457,"Present")</f>
        <v>0</v>
      </c>
      <c r="L157" s="14"/>
      <c r="M157" s="14"/>
      <c r="N157" s="14"/>
      <c r="O157" s="14"/>
      <c r="P157" s="22" t="str">
        <f t="shared" si="6"/>
        <v/>
      </c>
      <c r="Q157" s="39" t="str">
        <f t="shared" si="7"/>
        <v/>
      </c>
      <c r="R157" s="22" t="str">
        <f t="shared" si="8"/>
        <v/>
      </c>
      <c r="S157" s="37"/>
    </row>
    <row r="158" spans="1:19" ht="44.25" customHeight="1" x14ac:dyDescent="0.35">
      <c r="A158" s="12">
        <v>153</v>
      </c>
      <c r="B158" s="12" t="s">
        <v>1270</v>
      </c>
      <c r="C158" s="11" t="s">
        <v>1271</v>
      </c>
      <c r="D158" s="11" t="s">
        <v>20</v>
      </c>
      <c r="E158" s="11" t="s">
        <v>2131</v>
      </c>
      <c r="F158" s="11" t="s">
        <v>234</v>
      </c>
      <c r="G158" s="11" t="s">
        <v>42</v>
      </c>
      <c r="H158" s="11" t="s">
        <v>55</v>
      </c>
      <c r="I158" s="35" t="s">
        <v>2132</v>
      </c>
      <c r="J158" s="12">
        <f>COUNTA('Team Wise'!D458:D460)</f>
        <v>3</v>
      </c>
      <c r="K158" s="12">
        <f>COUNTIF('Team Wise'!K458:K460,"Present")</f>
        <v>0</v>
      </c>
      <c r="L158" s="14"/>
      <c r="M158" s="14"/>
      <c r="N158" s="14"/>
      <c r="O158" s="14"/>
      <c r="P158" s="12" t="str">
        <f t="shared" si="6"/>
        <v/>
      </c>
      <c r="Q158" s="36" t="str">
        <f t="shared" si="7"/>
        <v/>
      </c>
      <c r="R158" s="12" t="str">
        <f t="shared" si="8"/>
        <v/>
      </c>
      <c r="S158" s="37"/>
    </row>
    <row r="159" spans="1:19" ht="44.25" customHeight="1" x14ac:dyDescent="0.35">
      <c r="A159" s="22">
        <v>154</v>
      </c>
      <c r="B159" s="22" t="s">
        <v>1278</v>
      </c>
      <c r="C159" s="21" t="s">
        <v>1279</v>
      </c>
      <c r="D159" s="21" t="s">
        <v>20</v>
      </c>
      <c r="E159" s="21" t="s">
        <v>2133</v>
      </c>
      <c r="F159" s="21" t="s">
        <v>17</v>
      </c>
      <c r="G159" s="21" t="s">
        <v>1811</v>
      </c>
      <c r="H159" s="21" t="s">
        <v>55</v>
      </c>
      <c r="I159" s="38" t="s">
        <v>2134</v>
      </c>
      <c r="J159" s="22">
        <f>COUNTA('Team Wise'!D461:D463)</f>
        <v>3</v>
      </c>
      <c r="K159" s="22">
        <f>COUNTIF('Team Wise'!K461:K463,"Present")</f>
        <v>0</v>
      </c>
      <c r="L159" s="14"/>
      <c r="M159" s="14"/>
      <c r="N159" s="14"/>
      <c r="O159" s="14"/>
      <c r="P159" s="22" t="str">
        <f t="shared" si="6"/>
        <v/>
      </c>
      <c r="Q159" s="39" t="str">
        <f t="shared" si="7"/>
        <v/>
      </c>
      <c r="R159" s="22" t="str">
        <f t="shared" si="8"/>
        <v/>
      </c>
      <c r="S159" s="37"/>
    </row>
    <row r="160" spans="1:19" ht="44.25" customHeight="1" x14ac:dyDescent="0.35">
      <c r="A160" s="12">
        <v>155</v>
      </c>
      <c r="B160" s="12" t="s">
        <v>1286</v>
      </c>
      <c r="C160" s="11" t="s">
        <v>1287</v>
      </c>
      <c r="D160" s="11" t="s">
        <v>20</v>
      </c>
      <c r="E160" s="11" t="s">
        <v>2135</v>
      </c>
      <c r="F160" s="11" t="s">
        <v>17</v>
      </c>
      <c r="G160" s="11" t="s">
        <v>294</v>
      </c>
      <c r="H160" s="11" t="s">
        <v>31</v>
      </c>
      <c r="I160" s="35" t="s">
        <v>2136</v>
      </c>
      <c r="J160" s="12">
        <f>COUNTA('Team Wise'!D464:D466)</f>
        <v>3</v>
      </c>
      <c r="K160" s="12">
        <f>COUNTIF('Team Wise'!K464:K466,"Present")</f>
        <v>0</v>
      </c>
      <c r="L160" s="14"/>
      <c r="M160" s="14"/>
      <c r="N160" s="14"/>
      <c r="O160" s="14"/>
      <c r="P160" s="12" t="str">
        <f t="shared" si="6"/>
        <v/>
      </c>
      <c r="Q160" s="36" t="str">
        <f t="shared" si="7"/>
        <v/>
      </c>
      <c r="R160" s="12" t="str">
        <f t="shared" si="8"/>
        <v/>
      </c>
      <c r="S160" s="37"/>
    </row>
    <row r="161" spans="1:19" ht="44.25" customHeight="1" x14ac:dyDescent="0.35">
      <c r="A161" s="22">
        <v>156</v>
      </c>
      <c r="B161" s="22" t="s">
        <v>1294</v>
      </c>
      <c r="C161" s="21" t="s">
        <v>1295</v>
      </c>
      <c r="D161" s="21" t="s">
        <v>20</v>
      </c>
      <c r="E161" s="21" t="s">
        <v>2137</v>
      </c>
      <c r="F161" s="21" t="s">
        <v>380</v>
      </c>
      <c r="G161" s="21" t="s">
        <v>30</v>
      </c>
      <c r="H161" s="21" t="s">
        <v>31</v>
      </c>
      <c r="I161" s="38" t="s">
        <v>2138</v>
      </c>
      <c r="J161" s="22">
        <f>COUNTA('Team Wise'!D467:D469)</f>
        <v>3</v>
      </c>
      <c r="K161" s="22">
        <f>COUNTIF('Team Wise'!K467:K469,"Present")</f>
        <v>0</v>
      </c>
      <c r="L161" s="14"/>
      <c r="M161" s="14"/>
      <c r="N161" s="14"/>
      <c r="O161" s="14"/>
      <c r="P161" s="22" t="str">
        <f t="shared" si="6"/>
        <v/>
      </c>
      <c r="Q161" s="39" t="str">
        <f t="shared" si="7"/>
        <v/>
      </c>
      <c r="R161" s="22" t="str">
        <f t="shared" si="8"/>
        <v/>
      </c>
      <c r="S161" s="37"/>
    </row>
    <row r="162" spans="1:19" ht="57.75" customHeight="1" x14ac:dyDescent="0.35">
      <c r="A162" s="12">
        <v>157</v>
      </c>
      <c r="B162" s="12" t="s">
        <v>1302</v>
      </c>
      <c r="C162" s="11" t="s">
        <v>1303</v>
      </c>
      <c r="D162" s="11" t="s">
        <v>20</v>
      </c>
      <c r="E162" s="11" t="s">
        <v>2139</v>
      </c>
      <c r="F162" s="11" t="s">
        <v>1854</v>
      </c>
      <c r="G162" s="11" t="s">
        <v>2140</v>
      </c>
      <c r="H162" s="11" t="s">
        <v>55</v>
      </c>
      <c r="I162" s="35" t="s">
        <v>2141</v>
      </c>
      <c r="J162" s="12">
        <f>COUNTA('Team Wise'!D470:D472)</f>
        <v>3</v>
      </c>
      <c r="K162" s="12">
        <f>COUNTIF('Team Wise'!K470:K472,"Present")</f>
        <v>0</v>
      </c>
      <c r="L162" s="14"/>
      <c r="M162" s="14"/>
      <c r="N162" s="14"/>
      <c r="O162" s="14"/>
      <c r="P162" s="12" t="str">
        <f t="shared" si="6"/>
        <v/>
      </c>
      <c r="Q162" s="36" t="str">
        <f t="shared" si="7"/>
        <v/>
      </c>
      <c r="R162" s="12" t="str">
        <f t="shared" si="8"/>
        <v/>
      </c>
      <c r="S162" s="37"/>
    </row>
    <row r="163" spans="1:19" ht="44.25" customHeight="1" x14ac:dyDescent="0.35">
      <c r="A163" s="22">
        <v>158</v>
      </c>
      <c r="B163" s="22" t="s">
        <v>1310</v>
      </c>
      <c r="C163" s="21" t="s">
        <v>1311</v>
      </c>
      <c r="D163" s="21" t="s">
        <v>20</v>
      </c>
      <c r="E163" s="21" t="s">
        <v>2142</v>
      </c>
      <c r="F163" s="21" t="s">
        <v>897</v>
      </c>
      <c r="G163" s="21" t="s">
        <v>92</v>
      </c>
      <c r="H163" s="21" t="s">
        <v>55</v>
      </c>
      <c r="I163" s="38" t="s">
        <v>2143</v>
      </c>
      <c r="J163" s="22">
        <f>COUNTA('Team Wise'!D473:D475)</f>
        <v>3</v>
      </c>
      <c r="K163" s="22">
        <f>COUNTIF('Team Wise'!K473:K475,"Present")</f>
        <v>0</v>
      </c>
      <c r="L163" s="14"/>
      <c r="M163" s="14"/>
      <c r="N163" s="14"/>
      <c r="O163" s="14"/>
      <c r="P163" s="22" t="str">
        <f t="shared" si="6"/>
        <v/>
      </c>
      <c r="Q163" s="39" t="str">
        <f t="shared" si="7"/>
        <v/>
      </c>
      <c r="R163" s="22" t="str">
        <f t="shared" si="8"/>
        <v/>
      </c>
      <c r="S163" s="37"/>
    </row>
    <row r="164" spans="1:19" ht="44.25" customHeight="1" x14ac:dyDescent="0.35">
      <c r="A164" s="12">
        <v>159</v>
      </c>
      <c r="B164" s="12" t="s">
        <v>1318</v>
      </c>
      <c r="C164" s="11" t="s">
        <v>1319</v>
      </c>
      <c r="D164" s="11" t="s">
        <v>20</v>
      </c>
      <c r="E164" s="11" t="s">
        <v>2144</v>
      </c>
      <c r="F164" s="11" t="s">
        <v>553</v>
      </c>
      <c r="G164" s="11" t="s">
        <v>42</v>
      </c>
      <c r="H164" s="11" t="s">
        <v>193</v>
      </c>
      <c r="I164" s="35" t="s">
        <v>2145</v>
      </c>
      <c r="J164" s="12">
        <f>COUNTA('Team Wise'!D476:D478)</f>
        <v>3</v>
      </c>
      <c r="K164" s="12">
        <f>COUNTIF('Team Wise'!K476:K478,"Present")</f>
        <v>0</v>
      </c>
      <c r="L164" s="14"/>
      <c r="M164" s="14"/>
      <c r="N164" s="14"/>
      <c r="O164" s="14"/>
      <c r="P164" s="12" t="str">
        <f t="shared" si="6"/>
        <v/>
      </c>
      <c r="Q164" s="36" t="str">
        <f t="shared" si="7"/>
        <v/>
      </c>
      <c r="R164" s="12" t="str">
        <f t="shared" si="8"/>
        <v/>
      </c>
      <c r="S164" s="37"/>
    </row>
    <row r="165" spans="1:19" ht="44.25" customHeight="1" x14ac:dyDescent="0.35">
      <c r="A165" s="22">
        <v>160</v>
      </c>
      <c r="B165" s="22" t="s">
        <v>1326</v>
      </c>
      <c r="C165" s="21" t="s">
        <v>1327</v>
      </c>
      <c r="D165" s="21" t="s">
        <v>20</v>
      </c>
      <c r="E165" s="21" t="s">
        <v>2146</v>
      </c>
      <c r="F165" s="21" t="s">
        <v>17</v>
      </c>
      <c r="G165" s="21" t="s">
        <v>92</v>
      </c>
      <c r="H165" s="21" t="s">
        <v>55</v>
      </c>
      <c r="I165" s="38" t="s">
        <v>2147</v>
      </c>
      <c r="J165" s="22">
        <f>COUNTA('Team Wise'!D479:D481)</f>
        <v>3</v>
      </c>
      <c r="K165" s="22">
        <f>COUNTIF('Team Wise'!K479:K481,"Present")</f>
        <v>0</v>
      </c>
      <c r="L165" s="14"/>
      <c r="M165" s="14"/>
      <c r="N165" s="14"/>
      <c r="O165" s="14"/>
      <c r="P165" s="22" t="str">
        <f t="shared" si="6"/>
        <v/>
      </c>
      <c r="Q165" s="39" t="str">
        <f t="shared" si="7"/>
        <v/>
      </c>
      <c r="R165" s="22" t="str">
        <f t="shared" si="8"/>
        <v/>
      </c>
      <c r="S165" s="37"/>
    </row>
    <row r="166" spans="1:19" ht="71.25" customHeight="1" x14ac:dyDescent="0.35">
      <c r="A166" s="12">
        <v>161</v>
      </c>
      <c r="B166" s="12" t="s">
        <v>1334</v>
      </c>
      <c r="C166" s="11" t="s">
        <v>1327</v>
      </c>
      <c r="D166" s="11" t="s">
        <v>20</v>
      </c>
      <c r="E166" s="11" t="s">
        <v>2148</v>
      </c>
      <c r="F166" s="11" t="s">
        <v>2149</v>
      </c>
      <c r="G166" s="11" t="s">
        <v>42</v>
      </c>
      <c r="H166" s="11" t="s">
        <v>19</v>
      </c>
      <c r="I166" s="35" t="s">
        <v>2150</v>
      </c>
      <c r="J166" s="12">
        <f>COUNTA('Team Wise'!D482:D484)</f>
        <v>3</v>
      </c>
      <c r="K166" s="12">
        <f>COUNTIF('Team Wise'!K482:K484,"Present")</f>
        <v>0</v>
      </c>
      <c r="L166" s="14"/>
      <c r="M166" s="14"/>
      <c r="N166" s="14"/>
      <c r="O166" s="14"/>
      <c r="P166" s="12" t="str">
        <f t="shared" si="6"/>
        <v/>
      </c>
      <c r="Q166" s="36" t="str">
        <f t="shared" si="7"/>
        <v/>
      </c>
      <c r="R166" s="12" t="str">
        <f t="shared" si="8"/>
        <v/>
      </c>
      <c r="S166" s="37"/>
    </row>
    <row r="167" spans="1:19" ht="44.25" customHeight="1" x14ac:dyDescent="0.35">
      <c r="A167" s="22">
        <v>162</v>
      </c>
      <c r="B167" s="22" t="s">
        <v>1341</v>
      </c>
      <c r="C167" s="21" t="s">
        <v>1327</v>
      </c>
      <c r="D167" s="21" t="s">
        <v>20</v>
      </c>
      <c r="E167" s="21" t="s">
        <v>2151</v>
      </c>
      <c r="F167" s="21" t="s">
        <v>17</v>
      </c>
      <c r="G167" s="21" t="s">
        <v>92</v>
      </c>
      <c r="H167" s="21" t="s">
        <v>193</v>
      </c>
      <c r="I167" s="38" t="s">
        <v>2152</v>
      </c>
      <c r="J167" s="22">
        <f>COUNTA('Team Wise'!D485:D487)</f>
        <v>3</v>
      </c>
      <c r="K167" s="22">
        <f>COUNTIF('Team Wise'!K485:K487,"Present")</f>
        <v>0</v>
      </c>
      <c r="L167" s="14"/>
      <c r="M167" s="14"/>
      <c r="N167" s="14"/>
      <c r="O167" s="14"/>
      <c r="P167" s="22" t="str">
        <f t="shared" si="6"/>
        <v/>
      </c>
      <c r="Q167" s="39" t="str">
        <f t="shared" si="7"/>
        <v/>
      </c>
      <c r="R167" s="22" t="str">
        <f t="shared" si="8"/>
        <v/>
      </c>
      <c r="S167" s="37"/>
    </row>
    <row r="168" spans="1:19" ht="44.25" customHeight="1" x14ac:dyDescent="0.35">
      <c r="A168" s="12">
        <v>163</v>
      </c>
      <c r="B168" s="12" t="s">
        <v>1348</v>
      </c>
      <c r="C168" s="11" t="s">
        <v>1349</v>
      </c>
      <c r="D168" s="11" t="s">
        <v>20</v>
      </c>
      <c r="E168" s="11" t="s">
        <v>2153</v>
      </c>
      <c r="F168" s="11" t="s">
        <v>17</v>
      </c>
      <c r="G168" s="11" t="s">
        <v>92</v>
      </c>
      <c r="H168" s="11" t="s">
        <v>19</v>
      </c>
      <c r="I168" s="35" t="s">
        <v>2154</v>
      </c>
      <c r="J168" s="12">
        <f>COUNTA('Team Wise'!D488:D490)</f>
        <v>3</v>
      </c>
      <c r="K168" s="12">
        <f>COUNTIF('Team Wise'!K488:K490,"Present")</f>
        <v>0</v>
      </c>
      <c r="L168" s="14"/>
      <c r="M168" s="14"/>
      <c r="N168" s="14"/>
      <c r="O168" s="14"/>
      <c r="P168" s="12" t="str">
        <f t="shared" si="6"/>
        <v/>
      </c>
      <c r="Q168" s="36" t="str">
        <f t="shared" si="7"/>
        <v/>
      </c>
      <c r="R168" s="12" t="str">
        <f t="shared" si="8"/>
        <v/>
      </c>
      <c r="S168" s="37"/>
    </row>
    <row r="169" spans="1:19" ht="44.25" customHeight="1" x14ac:dyDescent="0.35">
      <c r="A169" s="22">
        <v>164</v>
      </c>
      <c r="B169" s="22" t="s">
        <v>1356</v>
      </c>
      <c r="C169" s="21" t="s">
        <v>1357</v>
      </c>
      <c r="D169" s="21" t="s">
        <v>20</v>
      </c>
      <c r="E169" s="21" t="s">
        <v>2155</v>
      </c>
      <c r="F169" s="21" t="s">
        <v>17</v>
      </c>
      <c r="G169" s="21" t="s">
        <v>30</v>
      </c>
      <c r="H169" s="21" t="s">
        <v>31</v>
      </c>
      <c r="I169" s="38" t="s">
        <v>2156</v>
      </c>
      <c r="J169" s="22">
        <f>COUNTA('Team Wise'!D491:D493)</f>
        <v>3</v>
      </c>
      <c r="K169" s="22">
        <f>COUNTIF('Team Wise'!K491:K493,"Present")</f>
        <v>0</v>
      </c>
      <c r="L169" s="14"/>
      <c r="M169" s="14"/>
      <c r="N169" s="14"/>
      <c r="O169" s="14"/>
      <c r="P169" s="22" t="str">
        <f t="shared" si="6"/>
        <v/>
      </c>
      <c r="Q169" s="39" t="str">
        <f t="shared" si="7"/>
        <v/>
      </c>
      <c r="R169" s="22" t="str">
        <f t="shared" si="8"/>
        <v/>
      </c>
      <c r="S169" s="37"/>
    </row>
    <row r="170" spans="1:19" ht="44.25" customHeight="1" x14ac:dyDescent="0.35">
      <c r="A170" s="12">
        <v>165</v>
      </c>
      <c r="B170" s="12" t="s">
        <v>1364</v>
      </c>
      <c r="C170" s="11" t="s">
        <v>1365</v>
      </c>
      <c r="D170" s="11" t="s">
        <v>20</v>
      </c>
      <c r="E170" s="11" t="s">
        <v>2157</v>
      </c>
      <c r="F170" s="11" t="s">
        <v>17</v>
      </c>
      <c r="G170" s="11" t="s">
        <v>42</v>
      </c>
      <c r="H170" s="11" t="s">
        <v>31</v>
      </c>
      <c r="I170" s="35" t="s">
        <v>2158</v>
      </c>
      <c r="J170" s="12">
        <f>COUNTA('Team Wise'!D494:D496)</f>
        <v>3</v>
      </c>
      <c r="K170" s="12">
        <f>COUNTIF('Team Wise'!K494:K496,"Present")</f>
        <v>0</v>
      </c>
      <c r="L170" s="14"/>
      <c r="M170" s="14"/>
      <c r="N170" s="14"/>
      <c r="O170" s="14"/>
      <c r="P170" s="12" t="str">
        <f t="shared" si="6"/>
        <v/>
      </c>
      <c r="Q170" s="36" t="str">
        <f t="shared" si="7"/>
        <v/>
      </c>
      <c r="R170" s="12" t="str">
        <f t="shared" si="8"/>
        <v/>
      </c>
      <c r="S170" s="37"/>
    </row>
    <row r="171" spans="1:19" ht="44.25" customHeight="1" x14ac:dyDescent="0.35">
      <c r="A171" s="22">
        <v>166</v>
      </c>
      <c r="B171" s="22" t="s">
        <v>1372</v>
      </c>
      <c r="C171" s="21" t="s">
        <v>1373</v>
      </c>
      <c r="D171" s="21" t="s">
        <v>20</v>
      </c>
      <c r="E171" s="21" t="s">
        <v>2159</v>
      </c>
      <c r="F171" s="21" t="s">
        <v>17</v>
      </c>
      <c r="G171" s="21" t="s">
        <v>42</v>
      </c>
      <c r="H171" s="21" t="s">
        <v>31</v>
      </c>
      <c r="I171" s="38" t="s">
        <v>2160</v>
      </c>
      <c r="J171" s="22">
        <f>COUNTA('Team Wise'!D497:D499)</f>
        <v>3</v>
      </c>
      <c r="K171" s="22">
        <f>COUNTIF('Team Wise'!K497:K499,"Present")</f>
        <v>0</v>
      </c>
      <c r="L171" s="14"/>
      <c r="M171" s="14"/>
      <c r="N171" s="14"/>
      <c r="O171" s="14"/>
      <c r="P171" s="22" t="str">
        <f t="shared" si="6"/>
        <v/>
      </c>
      <c r="Q171" s="39" t="str">
        <f t="shared" si="7"/>
        <v/>
      </c>
      <c r="R171" s="22" t="str">
        <f t="shared" si="8"/>
        <v/>
      </c>
      <c r="S171" s="37"/>
    </row>
    <row r="172" spans="1:19" ht="84.75" customHeight="1" x14ac:dyDescent="0.35">
      <c r="A172" s="12">
        <v>167</v>
      </c>
      <c r="B172" s="12" t="s">
        <v>1380</v>
      </c>
      <c r="C172" s="11" t="s">
        <v>1381</v>
      </c>
      <c r="D172" s="11" t="s">
        <v>20</v>
      </c>
      <c r="E172" s="11" t="s">
        <v>2161</v>
      </c>
      <c r="F172" s="11" t="s">
        <v>2162</v>
      </c>
      <c r="G172" s="11" t="s">
        <v>2163</v>
      </c>
      <c r="H172" s="11" t="s">
        <v>31</v>
      </c>
      <c r="I172" s="35" t="s">
        <v>2164</v>
      </c>
      <c r="J172" s="12">
        <f>COUNTA('Team Wise'!D500:D502)</f>
        <v>3</v>
      </c>
      <c r="K172" s="12">
        <f>COUNTIF('Team Wise'!K500:K502,"Present")</f>
        <v>0</v>
      </c>
      <c r="L172" s="14"/>
      <c r="M172" s="14"/>
      <c r="N172" s="14"/>
      <c r="O172" s="14"/>
      <c r="P172" s="12" t="str">
        <f t="shared" si="6"/>
        <v/>
      </c>
      <c r="Q172" s="36" t="str">
        <f t="shared" si="7"/>
        <v/>
      </c>
      <c r="R172" s="12" t="str">
        <f t="shared" si="8"/>
        <v/>
      </c>
      <c r="S172" s="37"/>
    </row>
    <row r="173" spans="1:19" ht="44.25" customHeight="1" x14ac:dyDescent="0.35">
      <c r="A173" s="22">
        <v>168</v>
      </c>
      <c r="B173" s="22" t="s">
        <v>1388</v>
      </c>
      <c r="C173" s="21" t="s">
        <v>1389</v>
      </c>
      <c r="D173" s="21" t="s">
        <v>20</v>
      </c>
      <c r="E173" s="21" t="s">
        <v>2165</v>
      </c>
      <c r="F173" s="21" t="s">
        <v>17</v>
      </c>
      <c r="G173" s="21" t="s">
        <v>1899</v>
      </c>
      <c r="H173" s="21" t="s">
        <v>31</v>
      </c>
      <c r="I173" s="38" t="s">
        <v>2166</v>
      </c>
      <c r="J173" s="22">
        <f>COUNTA('Team Wise'!D503:D505)</f>
        <v>3</v>
      </c>
      <c r="K173" s="22">
        <f>COUNTIF('Team Wise'!K503:K505,"Present")</f>
        <v>0</v>
      </c>
      <c r="L173" s="14"/>
      <c r="M173" s="14"/>
      <c r="N173" s="14"/>
      <c r="O173" s="14"/>
      <c r="P173" s="22" t="str">
        <f t="shared" si="6"/>
        <v/>
      </c>
      <c r="Q173" s="39" t="str">
        <f t="shared" si="7"/>
        <v/>
      </c>
      <c r="R173" s="22" t="str">
        <f t="shared" si="8"/>
        <v/>
      </c>
      <c r="S173" s="37"/>
    </row>
    <row r="174" spans="1:19" ht="44.25" customHeight="1" x14ac:dyDescent="0.35">
      <c r="A174" s="12">
        <v>169</v>
      </c>
      <c r="B174" s="12" t="s">
        <v>1396</v>
      </c>
      <c r="C174" s="11" t="s">
        <v>1397</v>
      </c>
      <c r="D174" s="11" t="s">
        <v>20</v>
      </c>
      <c r="E174" s="11" t="s">
        <v>2167</v>
      </c>
      <c r="F174" s="11" t="s">
        <v>320</v>
      </c>
      <c r="G174" s="11" t="s">
        <v>1811</v>
      </c>
      <c r="H174" s="11" t="s">
        <v>2168</v>
      </c>
      <c r="I174" s="35" t="s">
        <v>2169</v>
      </c>
      <c r="J174" s="12">
        <f>COUNTA('Team Wise'!D506:D508)</f>
        <v>3</v>
      </c>
      <c r="K174" s="12">
        <f>COUNTIF('Team Wise'!K506:K508,"Present")</f>
        <v>0</v>
      </c>
      <c r="L174" s="14"/>
      <c r="M174" s="14"/>
      <c r="N174" s="14"/>
      <c r="O174" s="14"/>
      <c r="P174" s="12" t="str">
        <f t="shared" si="6"/>
        <v/>
      </c>
      <c r="Q174" s="36" t="str">
        <f t="shared" si="7"/>
        <v/>
      </c>
      <c r="R174" s="12" t="str">
        <f t="shared" si="8"/>
        <v/>
      </c>
      <c r="S174" s="37"/>
    </row>
    <row r="175" spans="1:19" ht="44.25" customHeight="1" x14ac:dyDescent="0.35">
      <c r="A175" s="22">
        <v>170</v>
      </c>
      <c r="B175" s="22" t="s">
        <v>1404</v>
      </c>
      <c r="C175" s="21" t="s">
        <v>1405</v>
      </c>
      <c r="D175" s="21" t="s">
        <v>20</v>
      </c>
      <c r="E175" s="21" t="s">
        <v>2170</v>
      </c>
      <c r="F175" s="21" t="s">
        <v>17</v>
      </c>
      <c r="G175" s="21" t="s">
        <v>42</v>
      </c>
      <c r="H175" s="21" t="s">
        <v>55</v>
      </c>
      <c r="I175" s="38" t="s">
        <v>2171</v>
      </c>
      <c r="J175" s="22">
        <f>COUNTA('Team Wise'!D509:D511)</f>
        <v>3</v>
      </c>
      <c r="K175" s="22">
        <f>COUNTIF('Team Wise'!K509:K511,"Present")</f>
        <v>0</v>
      </c>
      <c r="L175" s="14"/>
      <c r="M175" s="14"/>
      <c r="N175" s="14"/>
      <c r="O175" s="14"/>
      <c r="P175" s="22" t="str">
        <f t="shared" si="6"/>
        <v/>
      </c>
      <c r="Q175" s="39" t="str">
        <f t="shared" si="7"/>
        <v/>
      </c>
      <c r="R175" s="22" t="str">
        <f t="shared" si="8"/>
        <v/>
      </c>
      <c r="S175" s="37"/>
    </row>
    <row r="176" spans="1:19" ht="44.25" customHeight="1" x14ac:dyDescent="0.35">
      <c r="A176" s="12">
        <v>171</v>
      </c>
      <c r="B176" s="12" t="s">
        <v>1412</v>
      </c>
      <c r="C176" s="11" t="s">
        <v>1413</v>
      </c>
      <c r="D176" s="11" t="s">
        <v>20</v>
      </c>
      <c r="E176" s="11" t="s">
        <v>2172</v>
      </c>
      <c r="F176" s="11" t="s">
        <v>17</v>
      </c>
      <c r="G176" s="11" t="s">
        <v>2173</v>
      </c>
      <c r="H176" s="11" t="s">
        <v>2174</v>
      </c>
      <c r="I176" s="35" t="s">
        <v>2175</v>
      </c>
      <c r="J176" s="12">
        <f>COUNTA('Team Wise'!D512:D514)</f>
        <v>3</v>
      </c>
      <c r="K176" s="12">
        <f>COUNTIF('Team Wise'!K512:K514,"Present")</f>
        <v>0</v>
      </c>
      <c r="L176" s="14"/>
      <c r="M176" s="14"/>
      <c r="N176" s="14"/>
      <c r="O176" s="14"/>
      <c r="P176" s="12" t="str">
        <f t="shared" si="6"/>
        <v/>
      </c>
      <c r="Q176" s="36" t="str">
        <f t="shared" si="7"/>
        <v/>
      </c>
      <c r="R176" s="12" t="str">
        <f t="shared" si="8"/>
        <v/>
      </c>
      <c r="S176" s="37"/>
    </row>
    <row r="177" spans="1:19" ht="44.25" customHeight="1" x14ac:dyDescent="0.35">
      <c r="A177" s="22">
        <v>172</v>
      </c>
      <c r="B177" s="22" t="s">
        <v>1420</v>
      </c>
      <c r="C177" s="21" t="s">
        <v>1421</v>
      </c>
      <c r="D177" s="21" t="s">
        <v>20</v>
      </c>
      <c r="E177" s="21" t="s">
        <v>2176</v>
      </c>
      <c r="F177" s="21" t="s">
        <v>438</v>
      </c>
      <c r="G177" s="21" t="s">
        <v>2177</v>
      </c>
      <c r="H177" s="21" t="s">
        <v>19</v>
      </c>
      <c r="I177" s="38" t="s">
        <v>2178</v>
      </c>
      <c r="J177" s="22">
        <f>COUNTA('Team Wise'!D515:D517)</f>
        <v>3</v>
      </c>
      <c r="K177" s="22">
        <f>COUNTIF('Team Wise'!K515:K517,"Present")</f>
        <v>0</v>
      </c>
      <c r="L177" s="14"/>
      <c r="M177" s="14"/>
      <c r="N177" s="14"/>
      <c r="O177" s="14"/>
      <c r="P177" s="22" t="str">
        <f t="shared" si="6"/>
        <v/>
      </c>
      <c r="Q177" s="39" t="str">
        <f t="shared" si="7"/>
        <v/>
      </c>
      <c r="R177" s="22" t="str">
        <f t="shared" si="8"/>
        <v/>
      </c>
      <c r="S177" s="37"/>
    </row>
    <row r="178" spans="1:19" ht="44.25" customHeight="1" x14ac:dyDescent="0.35">
      <c r="A178" s="12">
        <v>173</v>
      </c>
      <c r="B178" s="12" t="s">
        <v>1428</v>
      </c>
      <c r="C178" s="11" t="s">
        <v>1429</v>
      </c>
      <c r="D178" s="11" t="s">
        <v>20</v>
      </c>
      <c r="E178" s="11" t="s">
        <v>2179</v>
      </c>
      <c r="F178" s="11" t="s">
        <v>17</v>
      </c>
      <c r="G178" s="11" t="s">
        <v>42</v>
      </c>
      <c r="H178" s="11" t="s">
        <v>31</v>
      </c>
      <c r="I178" s="35" t="s">
        <v>2180</v>
      </c>
      <c r="J178" s="12">
        <f>COUNTA('Team Wise'!D518:D520)</f>
        <v>3</v>
      </c>
      <c r="K178" s="12">
        <f>COUNTIF('Team Wise'!K518:K520,"Present")</f>
        <v>0</v>
      </c>
      <c r="L178" s="14"/>
      <c r="M178" s="14"/>
      <c r="N178" s="14"/>
      <c r="O178" s="14"/>
      <c r="P178" s="12" t="str">
        <f t="shared" si="6"/>
        <v/>
      </c>
      <c r="Q178" s="36" t="str">
        <f t="shared" si="7"/>
        <v/>
      </c>
      <c r="R178" s="12" t="str">
        <f t="shared" si="8"/>
        <v/>
      </c>
      <c r="S178" s="37"/>
    </row>
    <row r="179" spans="1:19" ht="44.25" customHeight="1" x14ac:dyDescent="0.35">
      <c r="A179" s="22">
        <v>174</v>
      </c>
      <c r="B179" s="22" t="s">
        <v>1436</v>
      </c>
      <c r="C179" s="21" t="s">
        <v>1437</v>
      </c>
      <c r="D179" s="21" t="s">
        <v>20</v>
      </c>
      <c r="E179" s="21" t="s">
        <v>2181</v>
      </c>
      <c r="F179" s="21" t="s">
        <v>17</v>
      </c>
      <c r="G179" s="21" t="s">
        <v>30</v>
      </c>
      <c r="H179" s="21" t="s">
        <v>55</v>
      </c>
      <c r="I179" s="38" t="s">
        <v>2182</v>
      </c>
      <c r="J179" s="22">
        <f>COUNTA('Team Wise'!D521:D523)</f>
        <v>3</v>
      </c>
      <c r="K179" s="22">
        <f>COUNTIF('Team Wise'!K521:K523,"Present")</f>
        <v>0</v>
      </c>
      <c r="L179" s="14"/>
      <c r="M179" s="14"/>
      <c r="N179" s="14"/>
      <c r="O179" s="14"/>
      <c r="P179" s="22" t="str">
        <f t="shared" si="6"/>
        <v/>
      </c>
      <c r="Q179" s="39" t="str">
        <f t="shared" si="7"/>
        <v/>
      </c>
      <c r="R179" s="22" t="str">
        <f t="shared" si="8"/>
        <v/>
      </c>
      <c r="S179" s="37"/>
    </row>
    <row r="180" spans="1:19" ht="44.25" customHeight="1" x14ac:dyDescent="0.35">
      <c r="A180" s="12">
        <v>175</v>
      </c>
      <c r="B180" s="12" t="s">
        <v>1444</v>
      </c>
      <c r="C180" s="11" t="s">
        <v>1445</v>
      </c>
      <c r="D180" s="11" t="s">
        <v>20</v>
      </c>
      <c r="E180" s="11" t="s">
        <v>2183</v>
      </c>
      <c r="F180" s="11" t="s">
        <v>17</v>
      </c>
      <c r="G180" s="11" t="s">
        <v>30</v>
      </c>
      <c r="H180" s="11" t="s">
        <v>55</v>
      </c>
      <c r="I180" s="35" t="s">
        <v>2184</v>
      </c>
      <c r="J180" s="12">
        <f>COUNTA('Team Wise'!D524:D526)</f>
        <v>3</v>
      </c>
      <c r="K180" s="12">
        <f>COUNTIF('Team Wise'!K524:K526,"Present")</f>
        <v>0</v>
      </c>
      <c r="L180" s="14"/>
      <c r="M180" s="14"/>
      <c r="N180" s="14"/>
      <c r="O180" s="14"/>
      <c r="P180" s="12" t="str">
        <f t="shared" si="6"/>
        <v/>
      </c>
      <c r="Q180" s="36" t="str">
        <f t="shared" si="7"/>
        <v/>
      </c>
      <c r="R180" s="12" t="str">
        <f t="shared" si="8"/>
        <v/>
      </c>
      <c r="S180" s="37"/>
    </row>
    <row r="181" spans="1:19" ht="44.25" customHeight="1" x14ac:dyDescent="0.35">
      <c r="A181" s="22">
        <v>176</v>
      </c>
      <c r="B181" s="22" t="s">
        <v>1452</v>
      </c>
      <c r="C181" s="21" t="s">
        <v>1453</v>
      </c>
      <c r="D181" s="21" t="s">
        <v>20</v>
      </c>
      <c r="E181" s="21" t="s">
        <v>2185</v>
      </c>
      <c r="F181" s="21" t="s">
        <v>17</v>
      </c>
      <c r="G181" s="21" t="s">
        <v>30</v>
      </c>
      <c r="H181" s="21" t="s">
        <v>55</v>
      </c>
      <c r="I181" s="38" t="s">
        <v>2186</v>
      </c>
      <c r="J181" s="22">
        <f>COUNTA('Team Wise'!D527:D529)</f>
        <v>3</v>
      </c>
      <c r="K181" s="22">
        <f>COUNTIF('Team Wise'!K527:K529,"Present")</f>
        <v>0</v>
      </c>
      <c r="L181" s="14"/>
      <c r="M181" s="14"/>
      <c r="N181" s="14"/>
      <c r="O181" s="14"/>
      <c r="P181" s="22" t="str">
        <f t="shared" si="6"/>
        <v/>
      </c>
      <c r="Q181" s="39" t="str">
        <f t="shared" si="7"/>
        <v/>
      </c>
      <c r="R181" s="22" t="str">
        <f t="shared" si="8"/>
        <v/>
      </c>
      <c r="S181" s="37"/>
    </row>
    <row r="182" spans="1:19" ht="44.25" customHeight="1" x14ac:dyDescent="0.35">
      <c r="A182" s="12">
        <v>177</v>
      </c>
      <c r="B182" s="12" t="s">
        <v>1460</v>
      </c>
      <c r="C182" s="11" t="s">
        <v>1461</v>
      </c>
      <c r="D182" s="11" t="s">
        <v>1463</v>
      </c>
      <c r="E182" s="11" t="s">
        <v>2187</v>
      </c>
      <c r="F182" s="11" t="s">
        <v>17</v>
      </c>
      <c r="G182" s="11" t="s">
        <v>92</v>
      </c>
      <c r="H182" s="11" t="s">
        <v>55</v>
      </c>
      <c r="I182" s="35" t="s">
        <v>2188</v>
      </c>
      <c r="J182" s="12">
        <f>COUNTA('Team Wise'!D530:D532)</f>
        <v>3</v>
      </c>
      <c r="K182" s="12">
        <f>COUNTIF('Team Wise'!K530:K532,"Present")</f>
        <v>0</v>
      </c>
      <c r="L182" s="14"/>
      <c r="M182" s="14"/>
      <c r="N182" s="14"/>
      <c r="O182" s="14"/>
      <c r="P182" s="12" t="str">
        <f t="shared" si="6"/>
        <v/>
      </c>
      <c r="Q182" s="36" t="str">
        <f t="shared" si="7"/>
        <v/>
      </c>
      <c r="R182" s="12" t="str">
        <f t="shared" si="8"/>
        <v/>
      </c>
      <c r="S182" s="37"/>
    </row>
    <row r="183" spans="1:19" ht="71.25" customHeight="1" x14ac:dyDescent="0.35">
      <c r="A183" s="22">
        <v>178</v>
      </c>
      <c r="B183" s="22" t="s">
        <v>1469</v>
      </c>
      <c r="C183" s="21" t="s">
        <v>1470</v>
      </c>
      <c r="D183" s="21" t="s">
        <v>1463</v>
      </c>
      <c r="E183" s="21" t="s">
        <v>2189</v>
      </c>
      <c r="F183" s="21" t="s">
        <v>2190</v>
      </c>
      <c r="G183" s="21" t="s">
        <v>2191</v>
      </c>
      <c r="H183" s="21" t="s">
        <v>55</v>
      </c>
      <c r="I183" s="38" t="s">
        <v>2192</v>
      </c>
      <c r="J183" s="22">
        <f>COUNTA('Team Wise'!D533:D535)</f>
        <v>3</v>
      </c>
      <c r="K183" s="22">
        <f>COUNTIF('Team Wise'!K533:K535,"Present")</f>
        <v>0</v>
      </c>
      <c r="L183" s="14"/>
      <c r="M183" s="14"/>
      <c r="N183" s="14"/>
      <c r="O183" s="14"/>
      <c r="P183" s="22" t="str">
        <f t="shared" si="6"/>
        <v/>
      </c>
      <c r="Q183" s="39" t="str">
        <f t="shared" si="7"/>
        <v/>
      </c>
      <c r="R183" s="22" t="str">
        <f t="shared" si="8"/>
        <v/>
      </c>
      <c r="S183" s="37"/>
    </row>
    <row r="184" spans="1:19" ht="44.25" customHeight="1" x14ac:dyDescent="0.35">
      <c r="A184" s="12">
        <v>179</v>
      </c>
      <c r="B184" s="12" t="s">
        <v>1478</v>
      </c>
      <c r="C184" s="11" t="s">
        <v>1479</v>
      </c>
      <c r="D184" s="11" t="s">
        <v>1463</v>
      </c>
      <c r="E184" s="11" t="s">
        <v>2193</v>
      </c>
      <c r="F184" s="11" t="s">
        <v>1481</v>
      </c>
      <c r="G184" s="11" t="s">
        <v>92</v>
      </c>
      <c r="H184" s="11" t="s">
        <v>2023</v>
      </c>
      <c r="I184" s="35" t="s">
        <v>2194</v>
      </c>
      <c r="J184" s="12">
        <f>COUNTA('Team Wise'!D536:D538)</f>
        <v>3</v>
      </c>
      <c r="K184" s="12">
        <f>COUNTIF('Team Wise'!K536:K538,"Present")</f>
        <v>0</v>
      </c>
      <c r="L184" s="14"/>
      <c r="M184" s="14"/>
      <c r="N184" s="14"/>
      <c r="O184" s="14"/>
      <c r="P184" s="12" t="str">
        <f t="shared" si="6"/>
        <v/>
      </c>
      <c r="Q184" s="36" t="str">
        <f t="shared" si="7"/>
        <v/>
      </c>
      <c r="R184" s="12" t="str">
        <f t="shared" si="8"/>
        <v/>
      </c>
      <c r="S184" s="37"/>
    </row>
    <row r="185" spans="1:19" ht="44.25" customHeight="1" x14ac:dyDescent="0.35">
      <c r="A185" s="22">
        <v>180</v>
      </c>
      <c r="B185" s="22" t="s">
        <v>1487</v>
      </c>
      <c r="C185" s="21" t="s">
        <v>1488</v>
      </c>
      <c r="D185" s="21" t="s">
        <v>1463</v>
      </c>
      <c r="E185" s="21" t="s">
        <v>2195</v>
      </c>
      <c r="F185" s="21" t="s">
        <v>17</v>
      </c>
      <c r="G185" s="21" t="s">
        <v>92</v>
      </c>
      <c r="H185" s="21" t="s">
        <v>2196</v>
      </c>
      <c r="I185" s="38" t="s">
        <v>2197</v>
      </c>
      <c r="J185" s="22">
        <f>COUNTA('Team Wise'!D539:D541)</f>
        <v>3</v>
      </c>
      <c r="K185" s="22">
        <f>COUNTIF('Team Wise'!K539:K541,"Present")</f>
        <v>0</v>
      </c>
      <c r="L185" s="14"/>
      <c r="M185" s="14"/>
      <c r="N185" s="14"/>
      <c r="O185" s="14"/>
      <c r="P185" s="22" t="str">
        <f t="shared" si="6"/>
        <v/>
      </c>
      <c r="Q185" s="39" t="str">
        <f t="shared" si="7"/>
        <v/>
      </c>
      <c r="R185" s="22" t="str">
        <f t="shared" si="8"/>
        <v/>
      </c>
      <c r="S185" s="37"/>
    </row>
    <row r="186" spans="1:19" ht="44.25" customHeight="1" x14ac:dyDescent="0.35">
      <c r="A186" s="12">
        <v>181</v>
      </c>
      <c r="B186" s="12" t="s">
        <v>1495</v>
      </c>
      <c r="C186" s="11" t="s">
        <v>1496</v>
      </c>
      <c r="D186" s="11" t="s">
        <v>1463</v>
      </c>
      <c r="E186" s="11" t="s">
        <v>2198</v>
      </c>
      <c r="F186" s="11" t="s">
        <v>218</v>
      </c>
      <c r="G186" s="11" t="s">
        <v>324</v>
      </c>
      <c r="H186" s="11" t="s">
        <v>31</v>
      </c>
      <c r="I186" s="35" t="s">
        <v>2199</v>
      </c>
      <c r="J186" s="12">
        <f>COUNTA('Team Wise'!D542:D544)</f>
        <v>3</v>
      </c>
      <c r="K186" s="12">
        <f>COUNTIF('Team Wise'!K542:K544,"Present")</f>
        <v>0</v>
      </c>
      <c r="L186" s="14"/>
      <c r="M186" s="14"/>
      <c r="N186" s="14"/>
      <c r="O186" s="14"/>
      <c r="P186" s="12" t="str">
        <f t="shared" si="6"/>
        <v/>
      </c>
      <c r="Q186" s="36" t="str">
        <f t="shared" si="7"/>
        <v/>
      </c>
      <c r="R186" s="12" t="str">
        <f t="shared" si="8"/>
        <v/>
      </c>
      <c r="S186" s="37"/>
    </row>
    <row r="187" spans="1:19" ht="44.25" customHeight="1" x14ac:dyDescent="0.35">
      <c r="A187" s="22">
        <v>182</v>
      </c>
      <c r="B187" s="22" t="s">
        <v>1503</v>
      </c>
      <c r="C187" s="21" t="s">
        <v>1504</v>
      </c>
      <c r="D187" s="21" t="s">
        <v>1463</v>
      </c>
      <c r="E187" s="21" t="s">
        <v>2200</v>
      </c>
      <c r="F187" s="21" t="s">
        <v>218</v>
      </c>
      <c r="G187" s="21" t="s">
        <v>324</v>
      </c>
      <c r="H187" s="21" t="s">
        <v>31</v>
      </c>
      <c r="I187" s="38" t="s">
        <v>2201</v>
      </c>
      <c r="J187" s="22">
        <f>COUNTA('Team Wise'!D545:D547)</f>
        <v>3</v>
      </c>
      <c r="K187" s="22">
        <f>COUNTIF('Team Wise'!K545:K547,"Present")</f>
        <v>0</v>
      </c>
      <c r="L187" s="14"/>
      <c r="M187" s="14"/>
      <c r="N187" s="14"/>
      <c r="O187" s="14"/>
      <c r="P187" s="22" t="str">
        <f t="shared" si="6"/>
        <v/>
      </c>
      <c r="Q187" s="39" t="str">
        <f t="shared" si="7"/>
        <v/>
      </c>
      <c r="R187" s="22" t="str">
        <f t="shared" si="8"/>
        <v/>
      </c>
      <c r="S187" s="37"/>
    </row>
    <row r="188" spans="1:19" ht="44.25" customHeight="1" x14ac:dyDescent="0.35">
      <c r="A188" s="12">
        <v>183</v>
      </c>
      <c r="B188" s="12" t="s">
        <v>1511</v>
      </c>
      <c r="C188" s="11" t="s">
        <v>1512</v>
      </c>
      <c r="D188" s="11" t="s">
        <v>1463</v>
      </c>
      <c r="E188" s="11" t="s">
        <v>2202</v>
      </c>
      <c r="F188" s="11" t="s">
        <v>17</v>
      </c>
      <c r="G188" s="11" t="s">
        <v>2203</v>
      </c>
      <c r="H188" s="11" t="s">
        <v>55</v>
      </c>
      <c r="I188" s="35" t="s">
        <v>2204</v>
      </c>
      <c r="J188" s="12">
        <f>COUNTA('Team Wise'!D548:D550)</f>
        <v>3</v>
      </c>
      <c r="K188" s="12">
        <f>COUNTIF('Team Wise'!K548:K550,"Present")</f>
        <v>0</v>
      </c>
      <c r="L188" s="14"/>
      <c r="M188" s="14"/>
      <c r="N188" s="14"/>
      <c r="O188" s="14"/>
      <c r="P188" s="12" t="str">
        <f t="shared" si="6"/>
        <v/>
      </c>
      <c r="Q188" s="36" t="str">
        <f t="shared" si="7"/>
        <v/>
      </c>
      <c r="R188" s="12" t="str">
        <f t="shared" si="8"/>
        <v/>
      </c>
      <c r="S188" s="37"/>
    </row>
    <row r="189" spans="1:19" ht="44.25" customHeight="1" x14ac:dyDescent="0.35">
      <c r="A189" s="22">
        <v>184</v>
      </c>
      <c r="B189" s="22" t="s">
        <v>1519</v>
      </c>
      <c r="C189" s="21" t="s">
        <v>1520</v>
      </c>
      <c r="D189" s="21" t="s">
        <v>1463</v>
      </c>
      <c r="E189" s="21" t="s">
        <v>2205</v>
      </c>
      <c r="F189" s="21" t="s">
        <v>167</v>
      </c>
      <c r="G189" s="21" t="s">
        <v>2206</v>
      </c>
      <c r="H189" s="21" t="s">
        <v>2207</v>
      </c>
      <c r="I189" s="38" t="s">
        <v>2208</v>
      </c>
      <c r="J189" s="22">
        <f>COUNTA('Team Wise'!D551:D553)</f>
        <v>3</v>
      </c>
      <c r="K189" s="22">
        <f>COUNTIF('Team Wise'!K551:K553,"Present")</f>
        <v>0</v>
      </c>
      <c r="L189" s="14"/>
      <c r="M189" s="14"/>
      <c r="N189" s="14"/>
      <c r="O189" s="14"/>
      <c r="P189" s="22" t="str">
        <f t="shared" si="6"/>
        <v/>
      </c>
      <c r="Q189" s="39" t="str">
        <f t="shared" si="7"/>
        <v/>
      </c>
      <c r="R189" s="22" t="str">
        <f t="shared" si="8"/>
        <v/>
      </c>
      <c r="S189" s="37"/>
    </row>
    <row r="190" spans="1:19" ht="44.25" customHeight="1" x14ac:dyDescent="0.35">
      <c r="A190" s="12">
        <v>185</v>
      </c>
      <c r="B190" s="12" t="s">
        <v>1527</v>
      </c>
      <c r="C190" s="11" t="s">
        <v>1528</v>
      </c>
      <c r="D190" s="11" t="s">
        <v>1463</v>
      </c>
      <c r="E190" s="11" t="s">
        <v>2209</v>
      </c>
      <c r="F190" s="11" t="s">
        <v>17</v>
      </c>
      <c r="G190" s="11" t="s">
        <v>300</v>
      </c>
      <c r="H190" s="11" t="s">
        <v>55</v>
      </c>
      <c r="I190" s="35" t="s">
        <v>2210</v>
      </c>
      <c r="J190" s="12">
        <f>COUNTA('Team Wise'!D554:D556)</f>
        <v>3</v>
      </c>
      <c r="K190" s="12">
        <f>COUNTIF('Team Wise'!K554:K556,"Present")</f>
        <v>0</v>
      </c>
      <c r="L190" s="14"/>
      <c r="M190" s="14"/>
      <c r="N190" s="14"/>
      <c r="O190" s="14"/>
      <c r="P190" s="12" t="str">
        <f t="shared" si="6"/>
        <v/>
      </c>
      <c r="Q190" s="36" t="str">
        <f t="shared" si="7"/>
        <v/>
      </c>
      <c r="R190" s="12" t="str">
        <f t="shared" si="8"/>
        <v/>
      </c>
      <c r="S190" s="37"/>
    </row>
    <row r="191" spans="1:19" ht="44.25" customHeight="1" x14ac:dyDescent="0.35">
      <c r="A191" s="22">
        <v>186</v>
      </c>
      <c r="B191" s="22" t="s">
        <v>1535</v>
      </c>
      <c r="C191" s="21" t="s">
        <v>1536</v>
      </c>
      <c r="D191" s="21" t="s">
        <v>1463</v>
      </c>
      <c r="E191" s="21" t="s">
        <v>2211</v>
      </c>
      <c r="F191" s="21" t="s">
        <v>167</v>
      </c>
      <c r="G191" s="21" t="s">
        <v>30</v>
      </c>
      <c r="H191" s="21" t="s">
        <v>31</v>
      </c>
      <c r="I191" s="38" t="s">
        <v>2212</v>
      </c>
      <c r="J191" s="22">
        <f>COUNTA('Team Wise'!D557:D559)</f>
        <v>3</v>
      </c>
      <c r="K191" s="22">
        <f>COUNTIF('Team Wise'!K557:K559,"Present")</f>
        <v>0</v>
      </c>
      <c r="L191" s="14"/>
      <c r="M191" s="14"/>
      <c r="N191" s="14"/>
      <c r="O191" s="14"/>
      <c r="P191" s="22" t="str">
        <f t="shared" si="6"/>
        <v/>
      </c>
      <c r="Q191" s="39" t="str">
        <f t="shared" si="7"/>
        <v/>
      </c>
      <c r="R191" s="22" t="str">
        <f t="shared" si="8"/>
        <v/>
      </c>
      <c r="S191" s="37"/>
    </row>
    <row r="192" spans="1:19" ht="57.75" customHeight="1" x14ac:dyDescent="0.35">
      <c r="A192" s="12">
        <v>187</v>
      </c>
      <c r="B192" s="12" t="s">
        <v>1543</v>
      </c>
      <c r="C192" s="11" t="s">
        <v>1544</v>
      </c>
      <c r="D192" s="11" t="s">
        <v>1463</v>
      </c>
      <c r="E192" s="11" t="s">
        <v>2213</v>
      </c>
      <c r="F192" s="11" t="s">
        <v>2214</v>
      </c>
      <c r="G192" s="11" t="s">
        <v>2140</v>
      </c>
      <c r="H192" s="11" t="s">
        <v>55</v>
      </c>
      <c r="I192" s="35" t="s">
        <v>2215</v>
      </c>
      <c r="J192" s="12">
        <f>COUNTA('Team Wise'!D560:D562)</f>
        <v>3</v>
      </c>
      <c r="K192" s="12">
        <f>COUNTIF('Team Wise'!K560:K562,"Present")</f>
        <v>0</v>
      </c>
      <c r="L192" s="14"/>
      <c r="M192" s="14"/>
      <c r="N192" s="14"/>
      <c r="O192" s="14"/>
      <c r="P192" s="12" t="str">
        <f t="shared" si="6"/>
        <v/>
      </c>
      <c r="Q192" s="36" t="str">
        <f t="shared" si="7"/>
        <v/>
      </c>
      <c r="R192" s="12" t="str">
        <f t="shared" si="8"/>
        <v/>
      </c>
      <c r="S192" s="37"/>
    </row>
    <row r="193" spans="1:19" ht="44.25" customHeight="1" x14ac:dyDescent="0.35">
      <c r="A193" s="22">
        <v>188</v>
      </c>
      <c r="B193" s="22" t="s">
        <v>1552</v>
      </c>
      <c r="C193" s="21" t="s">
        <v>1553</v>
      </c>
      <c r="D193" s="21" t="s">
        <v>1463</v>
      </c>
      <c r="E193" s="21" t="s">
        <v>2216</v>
      </c>
      <c r="F193" s="21" t="s">
        <v>1555</v>
      </c>
      <c r="G193" s="21" t="s">
        <v>92</v>
      </c>
      <c r="H193" s="21" t="s">
        <v>55</v>
      </c>
      <c r="I193" s="38" t="s">
        <v>2217</v>
      </c>
      <c r="J193" s="22">
        <f>COUNTA('Team Wise'!D563:D565)</f>
        <v>3</v>
      </c>
      <c r="K193" s="22">
        <f>COUNTIF('Team Wise'!K563:K565,"Present")</f>
        <v>0</v>
      </c>
      <c r="L193" s="14"/>
      <c r="M193" s="14"/>
      <c r="N193" s="14"/>
      <c r="O193" s="14"/>
      <c r="P193" s="22" t="str">
        <f t="shared" si="6"/>
        <v/>
      </c>
      <c r="Q193" s="39" t="str">
        <f t="shared" si="7"/>
        <v/>
      </c>
      <c r="R193" s="22" t="str">
        <f t="shared" si="8"/>
        <v/>
      </c>
      <c r="S193" s="37"/>
    </row>
    <row r="194" spans="1:19" ht="44.25" customHeight="1" x14ac:dyDescent="0.35">
      <c r="A194" s="12">
        <v>189</v>
      </c>
      <c r="B194" s="12" t="s">
        <v>1561</v>
      </c>
      <c r="C194" s="11" t="s">
        <v>1562</v>
      </c>
      <c r="D194" s="11" t="s">
        <v>1463</v>
      </c>
      <c r="E194" s="11" t="s">
        <v>2218</v>
      </c>
      <c r="F194" s="11" t="s">
        <v>133</v>
      </c>
      <c r="G194" s="11" t="s">
        <v>92</v>
      </c>
      <c r="H194" s="11" t="s">
        <v>55</v>
      </c>
      <c r="I194" s="35" t="s">
        <v>2219</v>
      </c>
      <c r="J194" s="12">
        <f>COUNTA('Team Wise'!D566:D568)</f>
        <v>3</v>
      </c>
      <c r="K194" s="12">
        <f>COUNTIF('Team Wise'!K566:K568,"Present")</f>
        <v>0</v>
      </c>
      <c r="L194" s="14"/>
      <c r="M194" s="14"/>
      <c r="N194" s="14"/>
      <c r="O194" s="14"/>
      <c r="P194" s="12" t="str">
        <f t="shared" si="6"/>
        <v/>
      </c>
      <c r="Q194" s="36" t="str">
        <f t="shared" si="7"/>
        <v/>
      </c>
      <c r="R194" s="12" t="str">
        <f t="shared" si="8"/>
        <v/>
      </c>
      <c r="S194" s="37"/>
    </row>
    <row r="195" spans="1:19" ht="44.25" customHeight="1" x14ac:dyDescent="0.35">
      <c r="A195" s="22">
        <v>190</v>
      </c>
      <c r="B195" s="22" t="s">
        <v>1569</v>
      </c>
      <c r="C195" s="21" t="s">
        <v>1570</v>
      </c>
      <c r="D195" s="21" t="s">
        <v>1463</v>
      </c>
      <c r="E195" s="21" t="s">
        <v>2220</v>
      </c>
      <c r="F195" s="21" t="s">
        <v>17</v>
      </c>
      <c r="G195" s="21" t="s">
        <v>92</v>
      </c>
      <c r="H195" s="21" t="s">
        <v>55</v>
      </c>
      <c r="I195" s="38" t="s">
        <v>2221</v>
      </c>
      <c r="J195" s="22">
        <f>COUNTA('Team Wise'!D569:D571)</f>
        <v>3</v>
      </c>
      <c r="K195" s="22">
        <f>COUNTIF('Team Wise'!K569:K571,"Present")</f>
        <v>0</v>
      </c>
      <c r="L195" s="14"/>
      <c r="M195" s="14"/>
      <c r="N195" s="14"/>
      <c r="O195" s="14"/>
      <c r="P195" s="22" t="str">
        <f t="shared" si="6"/>
        <v/>
      </c>
      <c r="Q195" s="39" t="str">
        <f t="shared" si="7"/>
        <v/>
      </c>
      <c r="R195" s="22" t="str">
        <f t="shared" si="8"/>
        <v/>
      </c>
      <c r="S195" s="37"/>
    </row>
    <row r="196" spans="1:19" ht="71.25" customHeight="1" x14ac:dyDescent="0.35">
      <c r="A196" s="12">
        <v>191</v>
      </c>
      <c r="B196" s="12" t="s">
        <v>1577</v>
      </c>
      <c r="C196" s="11" t="s">
        <v>1578</v>
      </c>
      <c r="D196" s="11" t="s">
        <v>1463</v>
      </c>
      <c r="E196" s="11" t="s">
        <v>2222</v>
      </c>
      <c r="F196" s="11" t="s">
        <v>2223</v>
      </c>
      <c r="G196" s="11" t="s">
        <v>2224</v>
      </c>
      <c r="H196" s="11" t="s">
        <v>2225</v>
      </c>
      <c r="I196" s="35" t="s">
        <v>2226</v>
      </c>
      <c r="J196" s="12">
        <f>COUNTA('Team Wise'!D572:D574)</f>
        <v>3</v>
      </c>
      <c r="K196" s="12">
        <f>COUNTIF('Team Wise'!K572:K574,"Present")</f>
        <v>0</v>
      </c>
      <c r="L196" s="14"/>
      <c r="M196" s="14"/>
      <c r="N196" s="14"/>
      <c r="O196" s="14"/>
      <c r="P196" s="12" t="str">
        <f t="shared" si="6"/>
        <v/>
      </c>
      <c r="Q196" s="36" t="str">
        <f t="shared" si="7"/>
        <v/>
      </c>
      <c r="R196" s="12" t="str">
        <f t="shared" si="8"/>
        <v/>
      </c>
      <c r="S196" s="37"/>
    </row>
    <row r="197" spans="1:19" ht="44.25" customHeight="1" x14ac:dyDescent="0.35">
      <c r="A197" s="22">
        <v>192</v>
      </c>
      <c r="B197" s="22" t="s">
        <v>1586</v>
      </c>
      <c r="C197" s="21" t="s">
        <v>1587</v>
      </c>
      <c r="D197" s="21" t="s">
        <v>1463</v>
      </c>
      <c r="E197" s="21" t="s">
        <v>2227</v>
      </c>
      <c r="F197" s="21" t="s">
        <v>438</v>
      </c>
      <c r="G197" s="21" t="s">
        <v>1811</v>
      </c>
      <c r="H197" s="21" t="s">
        <v>19</v>
      </c>
      <c r="I197" s="38" t="s">
        <v>2228</v>
      </c>
      <c r="J197" s="22">
        <f>COUNTA('Team Wise'!D575:D577)</f>
        <v>3</v>
      </c>
      <c r="K197" s="22">
        <f>COUNTIF('Team Wise'!K575:K577,"Present")</f>
        <v>0</v>
      </c>
      <c r="L197" s="14"/>
      <c r="M197" s="14"/>
      <c r="N197" s="14"/>
      <c r="O197" s="14"/>
      <c r="P197" s="22" t="str">
        <f t="shared" si="6"/>
        <v/>
      </c>
      <c r="Q197" s="39" t="str">
        <f t="shared" si="7"/>
        <v/>
      </c>
      <c r="R197" s="22" t="str">
        <f t="shared" si="8"/>
        <v/>
      </c>
      <c r="S197" s="37"/>
    </row>
    <row r="198" spans="1:19" ht="44.25" customHeight="1" x14ac:dyDescent="0.35">
      <c r="A198" s="12">
        <v>193</v>
      </c>
      <c r="B198" s="12" t="s">
        <v>1594</v>
      </c>
      <c r="C198" s="11" t="s">
        <v>1595</v>
      </c>
      <c r="D198" s="11" t="s">
        <v>1463</v>
      </c>
      <c r="E198" s="11" t="s">
        <v>2229</v>
      </c>
      <c r="F198" s="11" t="s">
        <v>17</v>
      </c>
      <c r="G198" s="11" t="s">
        <v>300</v>
      </c>
      <c r="H198" s="11" t="s">
        <v>55</v>
      </c>
      <c r="I198" s="35" t="s">
        <v>2230</v>
      </c>
      <c r="J198" s="12">
        <f>COUNTA('Team Wise'!D578:D580)</f>
        <v>3</v>
      </c>
      <c r="K198" s="12">
        <f>COUNTIF('Team Wise'!K578:K580,"Present")</f>
        <v>0</v>
      </c>
      <c r="L198" s="14"/>
      <c r="M198" s="14"/>
      <c r="N198" s="14"/>
      <c r="O198" s="14"/>
      <c r="P198" s="12" t="str">
        <f t="shared" ref="P198:P219" si="9">IF(COUNT(L198:O198)=0,"",SUM(L198:O198))</f>
        <v/>
      </c>
      <c r="Q198" s="36" t="str">
        <f t="shared" ref="Q198:Q219" si="10">IF(P198="","",P198/$P$4)</f>
        <v/>
      </c>
      <c r="R198" s="12" t="str">
        <f t="shared" ref="R198:R219" si="11">IF(P198="","",COUNTIFS($D$6:$D$219,D198,$P$6:$P$219,"&gt;"&amp;P198)+1)</f>
        <v/>
      </c>
      <c r="S198" s="37"/>
    </row>
    <row r="199" spans="1:19" ht="44.25" customHeight="1" x14ac:dyDescent="0.35">
      <c r="A199" s="22">
        <v>194</v>
      </c>
      <c r="B199" s="22" t="s">
        <v>1602</v>
      </c>
      <c r="C199" s="21" t="s">
        <v>1603</v>
      </c>
      <c r="D199" s="21" t="s">
        <v>1463</v>
      </c>
      <c r="E199" s="21" t="s">
        <v>2231</v>
      </c>
      <c r="F199" s="21" t="s">
        <v>17</v>
      </c>
      <c r="G199" s="21" t="s">
        <v>92</v>
      </c>
      <c r="H199" s="21" t="s">
        <v>55</v>
      </c>
      <c r="I199" s="38" t="s">
        <v>2232</v>
      </c>
      <c r="J199" s="22">
        <f>COUNTA('Team Wise'!D581:D583)</f>
        <v>3</v>
      </c>
      <c r="K199" s="22">
        <f>COUNTIF('Team Wise'!K581:K583,"Present")</f>
        <v>0</v>
      </c>
      <c r="L199" s="14"/>
      <c r="M199" s="14"/>
      <c r="N199" s="14"/>
      <c r="O199" s="14"/>
      <c r="P199" s="22" t="str">
        <f t="shared" si="9"/>
        <v/>
      </c>
      <c r="Q199" s="39" t="str">
        <f t="shared" si="10"/>
        <v/>
      </c>
      <c r="R199" s="22" t="str">
        <f t="shared" si="11"/>
        <v/>
      </c>
      <c r="S199" s="37"/>
    </row>
    <row r="200" spans="1:19" ht="44.25" customHeight="1" x14ac:dyDescent="0.35">
      <c r="A200" s="12">
        <v>195</v>
      </c>
      <c r="B200" s="12" t="s">
        <v>1610</v>
      </c>
      <c r="C200" s="11" t="s">
        <v>1611</v>
      </c>
      <c r="D200" s="11" t="s">
        <v>1463</v>
      </c>
      <c r="E200" s="11" t="s">
        <v>2233</v>
      </c>
      <c r="F200" s="11" t="s">
        <v>17</v>
      </c>
      <c r="G200" s="11" t="s">
        <v>30</v>
      </c>
      <c r="H200" s="11" t="s">
        <v>55</v>
      </c>
      <c r="I200" s="35" t="s">
        <v>2234</v>
      </c>
      <c r="J200" s="12">
        <f>COUNTA('Team Wise'!D584:D586)</f>
        <v>3</v>
      </c>
      <c r="K200" s="12">
        <f>COUNTIF('Team Wise'!K584:K586,"Present")</f>
        <v>0</v>
      </c>
      <c r="L200" s="14"/>
      <c r="M200" s="14"/>
      <c r="N200" s="14"/>
      <c r="O200" s="14"/>
      <c r="P200" s="12" t="str">
        <f t="shared" si="9"/>
        <v/>
      </c>
      <c r="Q200" s="36" t="str">
        <f t="shared" si="10"/>
        <v/>
      </c>
      <c r="R200" s="12" t="str">
        <f t="shared" si="11"/>
        <v/>
      </c>
      <c r="S200" s="37"/>
    </row>
    <row r="201" spans="1:19" ht="71.25" customHeight="1" x14ac:dyDescent="0.35">
      <c r="A201" s="22">
        <v>196</v>
      </c>
      <c r="B201" s="22" t="s">
        <v>1618</v>
      </c>
      <c r="C201" s="21" t="s">
        <v>1619</v>
      </c>
      <c r="D201" s="21" t="s">
        <v>1463</v>
      </c>
      <c r="E201" s="21" t="s">
        <v>2235</v>
      </c>
      <c r="F201" s="21" t="s">
        <v>2236</v>
      </c>
      <c r="G201" s="21" t="s">
        <v>2026</v>
      </c>
      <c r="H201" s="21" t="s">
        <v>55</v>
      </c>
      <c r="I201" s="38" t="s">
        <v>2237</v>
      </c>
      <c r="J201" s="22">
        <f>COUNTA('Team Wise'!D587:D589)</f>
        <v>3</v>
      </c>
      <c r="K201" s="22">
        <f>COUNTIF('Team Wise'!K587:K589,"Present")</f>
        <v>0</v>
      </c>
      <c r="L201" s="14"/>
      <c r="M201" s="14"/>
      <c r="N201" s="14"/>
      <c r="O201" s="14"/>
      <c r="P201" s="22" t="str">
        <f t="shared" si="9"/>
        <v/>
      </c>
      <c r="Q201" s="39" t="str">
        <f t="shared" si="10"/>
        <v/>
      </c>
      <c r="R201" s="22" t="str">
        <f t="shared" si="11"/>
        <v/>
      </c>
      <c r="S201" s="37"/>
    </row>
    <row r="202" spans="1:19" ht="44.25" customHeight="1" x14ac:dyDescent="0.35">
      <c r="A202" s="12">
        <v>197</v>
      </c>
      <c r="B202" s="12" t="s">
        <v>1627</v>
      </c>
      <c r="C202" s="11" t="s">
        <v>1628</v>
      </c>
      <c r="D202" s="11" t="s">
        <v>1463</v>
      </c>
      <c r="E202" s="11" t="s">
        <v>2238</v>
      </c>
      <c r="F202" s="11" t="s">
        <v>17</v>
      </c>
      <c r="G202" s="11" t="s">
        <v>92</v>
      </c>
      <c r="H202" s="11" t="s">
        <v>55</v>
      </c>
      <c r="I202" s="35" t="s">
        <v>2239</v>
      </c>
      <c r="J202" s="12">
        <f>COUNTA('Team Wise'!D590:D592)</f>
        <v>3</v>
      </c>
      <c r="K202" s="12">
        <f>COUNTIF('Team Wise'!K590:K592,"Present")</f>
        <v>0</v>
      </c>
      <c r="L202" s="14"/>
      <c r="M202" s="14"/>
      <c r="N202" s="14"/>
      <c r="O202" s="14"/>
      <c r="P202" s="12" t="str">
        <f t="shared" si="9"/>
        <v/>
      </c>
      <c r="Q202" s="36" t="str">
        <f t="shared" si="10"/>
        <v/>
      </c>
      <c r="R202" s="12" t="str">
        <f t="shared" si="11"/>
        <v/>
      </c>
      <c r="S202" s="37"/>
    </row>
    <row r="203" spans="1:19" ht="44.25" customHeight="1" x14ac:dyDescent="0.35">
      <c r="A203" s="22">
        <v>198</v>
      </c>
      <c r="B203" s="22" t="s">
        <v>1635</v>
      </c>
      <c r="C203" s="21" t="s">
        <v>1636</v>
      </c>
      <c r="D203" s="21" t="s">
        <v>1463</v>
      </c>
      <c r="E203" s="21" t="s">
        <v>2240</v>
      </c>
      <c r="F203" s="21" t="s">
        <v>17</v>
      </c>
      <c r="G203" s="21" t="s">
        <v>30</v>
      </c>
      <c r="H203" s="21" t="s">
        <v>55</v>
      </c>
      <c r="I203" s="38" t="s">
        <v>2241</v>
      </c>
      <c r="J203" s="22">
        <f>COUNTA('Team Wise'!D593:D595)</f>
        <v>3</v>
      </c>
      <c r="K203" s="22">
        <f>COUNTIF('Team Wise'!K593:K595,"Present")</f>
        <v>0</v>
      </c>
      <c r="L203" s="14"/>
      <c r="M203" s="14"/>
      <c r="N203" s="14"/>
      <c r="O203" s="14"/>
      <c r="P203" s="22" t="str">
        <f t="shared" si="9"/>
        <v/>
      </c>
      <c r="Q203" s="39" t="str">
        <f t="shared" si="10"/>
        <v/>
      </c>
      <c r="R203" s="22" t="str">
        <f t="shared" si="11"/>
        <v/>
      </c>
      <c r="S203" s="37"/>
    </row>
    <row r="204" spans="1:19" ht="44.25" customHeight="1" x14ac:dyDescent="0.35">
      <c r="A204" s="12">
        <v>199</v>
      </c>
      <c r="B204" s="12" t="s">
        <v>1643</v>
      </c>
      <c r="C204" s="11" t="s">
        <v>1644</v>
      </c>
      <c r="D204" s="11" t="s">
        <v>1463</v>
      </c>
      <c r="E204" s="11" t="s">
        <v>2242</v>
      </c>
      <c r="F204" s="11" t="s">
        <v>17</v>
      </c>
      <c r="G204" s="11" t="s">
        <v>92</v>
      </c>
      <c r="H204" s="11" t="s">
        <v>55</v>
      </c>
      <c r="I204" s="35" t="s">
        <v>2243</v>
      </c>
      <c r="J204" s="12">
        <f>COUNTA('Team Wise'!D596:D598)</f>
        <v>3</v>
      </c>
      <c r="K204" s="12">
        <f>COUNTIF('Team Wise'!K596:K598,"Present")</f>
        <v>0</v>
      </c>
      <c r="L204" s="14"/>
      <c r="M204" s="14"/>
      <c r="N204" s="14"/>
      <c r="O204" s="14"/>
      <c r="P204" s="12" t="str">
        <f t="shared" si="9"/>
        <v/>
      </c>
      <c r="Q204" s="36" t="str">
        <f t="shared" si="10"/>
        <v/>
      </c>
      <c r="R204" s="12" t="str">
        <f t="shared" si="11"/>
        <v/>
      </c>
      <c r="S204" s="37"/>
    </row>
    <row r="205" spans="1:19" ht="84.75" customHeight="1" x14ac:dyDescent="0.35">
      <c r="A205" s="22">
        <v>200</v>
      </c>
      <c r="B205" s="22" t="s">
        <v>1651</v>
      </c>
      <c r="C205" s="21" t="s">
        <v>1652</v>
      </c>
      <c r="D205" s="21" t="s">
        <v>1463</v>
      </c>
      <c r="E205" s="21" t="s">
        <v>2244</v>
      </c>
      <c r="F205" s="21" t="s">
        <v>2245</v>
      </c>
      <c r="G205" s="21" t="s">
        <v>2026</v>
      </c>
      <c r="H205" s="21" t="s">
        <v>55</v>
      </c>
      <c r="I205" s="38" t="s">
        <v>2246</v>
      </c>
      <c r="J205" s="22">
        <f>COUNTA('Team Wise'!D599:D601)</f>
        <v>3</v>
      </c>
      <c r="K205" s="22">
        <f>COUNTIF('Team Wise'!K599:K601,"Present")</f>
        <v>0</v>
      </c>
      <c r="L205" s="14"/>
      <c r="M205" s="14"/>
      <c r="N205" s="14"/>
      <c r="O205" s="14"/>
      <c r="P205" s="22" t="str">
        <f t="shared" si="9"/>
        <v/>
      </c>
      <c r="Q205" s="39" t="str">
        <f t="shared" si="10"/>
        <v/>
      </c>
      <c r="R205" s="22" t="str">
        <f t="shared" si="11"/>
        <v/>
      </c>
      <c r="S205" s="37"/>
    </row>
    <row r="206" spans="1:19" ht="44.25" customHeight="1" x14ac:dyDescent="0.35">
      <c r="A206" s="12">
        <v>201</v>
      </c>
      <c r="B206" s="12" t="s">
        <v>1660</v>
      </c>
      <c r="C206" s="11" t="s">
        <v>1661</v>
      </c>
      <c r="D206" s="11" t="s">
        <v>1463</v>
      </c>
      <c r="E206" s="11" t="s">
        <v>2247</v>
      </c>
      <c r="F206" s="11" t="s">
        <v>438</v>
      </c>
      <c r="G206" s="11" t="s">
        <v>30</v>
      </c>
      <c r="H206" s="11" t="s">
        <v>19</v>
      </c>
      <c r="I206" s="35" t="s">
        <v>2248</v>
      </c>
      <c r="J206" s="12">
        <f>COUNTA('Team Wise'!D602:D604)</f>
        <v>3</v>
      </c>
      <c r="K206" s="12">
        <f>COUNTIF('Team Wise'!K602:K604,"Present")</f>
        <v>0</v>
      </c>
      <c r="L206" s="14"/>
      <c r="M206" s="14"/>
      <c r="N206" s="14"/>
      <c r="O206" s="14"/>
      <c r="P206" s="12" t="str">
        <f t="shared" si="9"/>
        <v/>
      </c>
      <c r="Q206" s="36" t="str">
        <f t="shared" si="10"/>
        <v/>
      </c>
      <c r="R206" s="12" t="str">
        <f t="shared" si="11"/>
        <v/>
      </c>
      <c r="S206" s="37"/>
    </row>
    <row r="207" spans="1:19" ht="44.25" customHeight="1" x14ac:dyDescent="0.35">
      <c r="A207" s="22">
        <v>202</v>
      </c>
      <c r="B207" s="22" t="s">
        <v>1668</v>
      </c>
      <c r="C207" s="21" t="s">
        <v>1669</v>
      </c>
      <c r="D207" s="21" t="s">
        <v>1463</v>
      </c>
      <c r="E207" s="21" t="s">
        <v>2249</v>
      </c>
      <c r="F207" s="21" t="s">
        <v>17</v>
      </c>
      <c r="G207" s="21" t="s">
        <v>18</v>
      </c>
      <c r="H207" s="21" t="s">
        <v>55</v>
      </c>
      <c r="I207" s="38" t="s">
        <v>2250</v>
      </c>
      <c r="J207" s="22">
        <f>COUNTA('Team Wise'!D605:D607)</f>
        <v>3</v>
      </c>
      <c r="K207" s="22">
        <f>COUNTIF('Team Wise'!K605:K607,"Present")</f>
        <v>0</v>
      </c>
      <c r="L207" s="14"/>
      <c r="M207" s="14"/>
      <c r="N207" s="14"/>
      <c r="O207" s="14"/>
      <c r="P207" s="22" t="str">
        <f t="shared" si="9"/>
        <v/>
      </c>
      <c r="Q207" s="39" t="str">
        <f t="shared" si="10"/>
        <v/>
      </c>
      <c r="R207" s="22" t="str">
        <f t="shared" si="11"/>
        <v/>
      </c>
      <c r="S207" s="37"/>
    </row>
    <row r="208" spans="1:19" ht="44.25" customHeight="1" x14ac:dyDescent="0.35">
      <c r="A208" s="12">
        <v>203</v>
      </c>
      <c r="B208" s="12" t="s">
        <v>1676</v>
      </c>
      <c r="C208" s="11" t="s">
        <v>1677</v>
      </c>
      <c r="D208" s="11" t="s">
        <v>1679</v>
      </c>
      <c r="E208" s="11" t="s">
        <v>2251</v>
      </c>
      <c r="F208" s="11" t="s">
        <v>17</v>
      </c>
      <c r="G208" s="11" t="s">
        <v>2252</v>
      </c>
      <c r="H208" s="11" t="s">
        <v>55</v>
      </c>
      <c r="I208" s="35" t="s">
        <v>2253</v>
      </c>
      <c r="J208" s="12">
        <f>COUNTA('Team Wise'!D608:D610)</f>
        <v>3</v>
      </c>
      <c r="K208" s="12">
        <f>COUNTIF('Team Wise'!K608:K610,"Present")</f>
        <v>0</v>
      </c>
      <c r="L208" s="14"/>
      <c r="M208" s="14"/>
      <c r="N208" s="14"/>
      <c r="O208" s="14"/>
      <c r="P208" s="12" t="str">
        <f t="shared" si="9"/>
        <v/>
      </c>
      <c r="Q208" s="36" t="str">
        <f t="shared" si="10"/>
        <v/>
      </c>
      <c r="R208" s="12" t="str">
        <f t="shared" si="11"/>
        <v/>
      </c>
      <c r="S208" s="37"/>
    </row>
    <row r="209" spans="1:19" ht="44.25" customHeight="1" x14ac:dyDescent="0.35">
      <c r="A209" s="22">
        <v>204</v>
      </c>
      <c r="B209" s="22" t="s">
        <v>1685</v>
      </c>
      <c r="C209" s="21" t="s">
        <v>1686</v>
      </c>
      <c r="D209" s="21" t="s">
        <v>1679</v>
      </c>
      <c r="E209" s="21" t="s">
        <v>2254</v>
      </c>
      <c r="F209" s="21" t="s">
        <v>17</v>
      </c>
      <c r="G209" s="21" t="s">
        <v>2255</v>
      </c>
      <c r="H209" s="21" t="s">
        <v>55</v>
      </c>
      <c r="I209" s="38" t="s">
        <v>2256</v>
      </c>
      <c r="J209" s="22">
        <f>COUNTA('Team Wise'!D611:D613)</f>
        <v>3</v>
      </c>
      <c r="K209" s="22">
        <f>COUNTIF('Team Wise'!K611:K613,"Present")</f>
        <v>0</v>
      </c>
      <c r="L209" s="14"/>
      <c r="M209" s="14"/>
      <c r="N209" s="14"/>
      <c r="O209" s="14"/>
      <c r="P209" s="22" t="str">
        <f t="shared" si="9"/>
        <v/>
      </c>
      <c r="Q209" s="39" t="str">
        <f t="shared" si="10"/>
        <v/>
      </c>
      <c r="R209" s="22" t="str">
        <f t="shared" si="11"/>
        <v/>
      </c>
      <c r="S209" s="37"/>
    </row>
    <row r="210" spans="1:19" ht="44.25" customHeight="1" x14ac:dyDescent="0.35">
      <c r="A210" s="12">
        <v>205</v>
      </c>
      <c r="B210" s="12" t="s">
        <v>1694</v>
      </c>
      <c r="C210" s="11" t="s">
        <v>1695</v>
      </c>
      <c r="D210" s="11" t="s">
        <v>1679</v>
      </c>
      <c r="E210" s="11" t="s">
        <v>2257</v>
      </c>
      <c r="F210" s="11" t="s">
        <v>17</v>
      </c>
      <c r="G210" s="11" t="s">
        <v>37</v>
      </c>
      <c r="H210" s="11" t="s">
        <v>55</v>
      </c>
      <c r="I210" s="35" t="s">
        <v>2258</v>
      </c>
      <c r="J210" s="12">
        <f>COUNTA('Team Wise'!D614:D616)</f>
        <v>3</v>
      </c>
      <c r="K210" s="12">
        <f>COUNTIF('Team Wise'!K614:K616,"Present")</f>
        <v>0</v>
      </c>
      <c r="L210" s="14"/>
      <c r="M210" s="14"/>
      <c r="N210" s="14"/>
      <c r="O210" s="14"/>
      <c r="P210" s="12" t="str">
        <f t="shared" si="9"/>
        <v/>
      </c>
      <c r="Q210" s="36" t="str">
        <f t="shared" si="10"/>
        <v/>
      </c>
      <c r="R210" s="12" t="str">
        <f t="shared" si="11"/>
        <v/>
      </c>
      <c r="S210" s="37"/>
    </row>
    <row r="211" spans="1:19" ht="44.25" customHeight="1" x14ac:dyDescent="0.35">
      <c r="A211" s="22">
        <v>206</v>
      </c>
      <c r="B211" s="22" t="s">
        <v>1702</v>
      </c>
      <c r="C211" s="21" t="s">
        <v>1703</v>
      </c>
      <c r="D211" s="21" t="s">
        <v>1679</v>
      </c>
      <c r="E211" s="21" t="s">
        <v>2259</v>
      </c>
      <c r="F211" s="21" t="s">
        <v>438</v>
      </c>
      <c r="G211" s="21" t="s">
        <v>324</v>
      </c>
      <c r="H211" s="21" t="s">
        <v>55</v>
      </c>
      <c r="I211" s="38" t="s">
        <v>2260</v>
      </c>
      <c r="J211" s="22">
        <f>COUNTA('Team Wise'!D617:D619)</f>
        <v>3</v>
      </c>
      <c r="K211" s="22">
        <f>COUNTIF('Team Wise'!K617:K619,"Present")</f>
        <v>0</v>
      </c>
      <c r="L211" s="14"/>
      <c r="M211" s="14"/>
      <c r="N211" s="14"/>
      <c r="O211" s="14"/>
      <c r="P211" s="22" t="str">
        <f t="shared" si="9"/>
        <v/>
      </c>
      <c r="Q211" s="39" t="str">
        <f t="shared" si="10"/>
        <v/>
      </c>
      <c r="R211" s="22" t="str">
        <f t="shared" si="11"/>
        <v/>
      </c>
      <c r="S211" s="37"/>
    </row>
    <row r="212" spans="1:19" ht="44.25" customHeight="1" x14ac:dyDescent="0.35">
      <c r="A212" s="12">
        <v>207</v>
      </c>
      <c r="B212" s="12" t="s">
        <v>1710</v>
      </c>
      <c r="C212" s="11" t="s">
        <v>1711</v>
      </c>
      <c r="D212" s="11" t="s">
        <v>1679</v>
      </c>
      <c r="E212" s="11" t="s">
        <v>2261</v>
      </c>
      <c r="F212" s="11" t="s">
        <v>17</v>
      </c>
      <c r="G212" s="11" t="s">
        <v>30</v>
      </c>
      <c r="H212" s="11" t="s">
        <v>55</v>
      </c>
      <c r="I212" s="35" t="s">
        <v>2262</v>
      </c>
      <c r="J212" s="12">
        <f>COUNTA('Team Wise'!D620:D622)</f>
        <v>3</v>
      </c>
      <c r="K212" s="12">
        <f>COUNTIF('Team Wise'!K620:K622,"Present")</f>
        <v>0</v>
      </c>
      <c r="L212" s="14"/>
      <c r="M212" s="14"/>
      <c r="N212" s="14"/>
      <c r="O212" s="14"/>
      <c r="P212" s="12" t="str">
        <f t="shared" si="9"/>
        <v/>
      </c>
      <c r="Q212" s="36" t="str">
        <f t="shared" si="10"/>
        <v/>
      </c>
      <c r="R212" s="12" t="str">
        <f t="shared" si="11"/>
        <v/>
      </c>
      <c r="S212" s="37"/>
    </row>
    <row r="213" spans="1:19" ht="44.25" customHeight="1" x14ac:dyDescent="0.35">
      <c r="A213" s="22">
        <v>208</v>
      </c>
      <c r="B213" s="22" t="s">
        <v>1718</v>
      </c>
      <c r="C213" s="21" t="s">
        <v>1719</v>
      </c>
      <c r="D213" s="21" t="s">
        <v>1679</v>
      </c>
      <c r="E213" s="21" t="s">
        <v>2263</v>
      </c>
      <c r="F213" s="21" t="s">
        <v>17</v>
      </c>
      <c r="G213" s="21" t="s">
        <v>2115</v>
      </c>
      <c r="H213" s="21" t="s">
        <v>31</v>
      </c>
      <c r="I213" s="38" t="s">
        <v>2264</v>
      </c>
      <c r="J213" s="22">
        <f>COUNTA('Team Wise'!D623:D625)</f>
        <v>3</v>
      </c>
      <c r="K213" s="22">
        <f>COUNTIF('Team Wise'!K623:K625,"Present")</f>
        <v>0</v>
      </c>
      <c r="L213" s="14"/>
      <c r="M213" s="14"/>
      <c r="N213" s="14"/>
      <c r="O213" s="14"/>
      <c r="P213" s="22" t="str">
        <f t="shared" si="9"/>
        <v/>
      </c>
      <c r="Q213" s="39" t="str">
        <f t="shared" si="10"/>
        <v/>
      </c>
      <c r="R213" s="22" t="str">
        <f t="shared" si="11"/>
        <v/>
      </c>
      <c r="S213" s="37"/>
    </row>
    <row r="214" spans="1:19" ht="44.25" customHeight="1" x14ac:dyDescent="0.35">
      <c r="A214" s="12">
        <v>209</v>
      </c>
      <c r="B214" s="12" t="s">
        <v>1726</v>
      </c>
      <c r="C214" s="11" t="s">
        <v>1727</v>
      </c>
      <c r="D214" s="11" t="s">
        <v>1679</v>
      </c>
      <c r="E214" s="11" t="s">
        <v>2265</v>
      </c>
      <c r="F214" s="11" t="s">
        <v>17</v>
      </c>
      <c r="G214" s="11" t="s">
        <v>92</v>
      </c>
      <c r="H214" s="11" t="s">
        <v>31</v>
      </c>
      <c r="I214" s="35" t="s">
        <v>2266</v>
      </c>
      <c r="J214" s="12">
        <f>COUNTA('Team Wise'!D626:D628)</f>
        <v>3</v>
      </c>
      <c r="K214" s="12">
        <f>COUNTIF('Team Wise'!K626:K628,"Present")</f>
        <v>0</v>
      </c>
      <c r="L214" s="14"/>
      <c r="M214" s="14"/>
      <c r="N214" s="14"/>
      <c r="O214" s="14"/>
      <c r="P214" s="12" t="str">
        <f t="shared" si="9"/>
        <v/>
      </c>
      <c r="Q214" s="36" t="str">
        <f t="shared" si="10"/>
        <v/>
      </c>
      <c r="R214" s="12" t="str">
        <f t="shared" si="11"/>
        <v/>
      </c>
      <c r="S214" s="37"/>
    </row>
    <row r="215" spans="1:19" ht="44.25" customHeight="1" x14ac:dyDescent="0.35">
      <c r="A215" s="22">
        <v>210</v>
      </c>
      <c r="B215" s="22" t="s">
        <v>1734</v>
      </c>
      <c r="C215" s="21" t="s">
        <v>1735</v>
      </c>
      <c r="D215" s="21" t="s">
        <v>1679</v>
      </c>
      <c r="E215" s="21" t="s">
        <v>2267</v>
      </c>
      <c r="F215" s="21" t="s">
        <v>17</v>
      </c>
      <c r="G215" s="21" t="s">
        <v>30</v>
      </c>
      <c r="H215" s="21" t="s">
        <v>55</v>
      </c>
      <c r="I215" s="38" t="s">
        <v>2268</v>
      </c>
      <c r="J215" s="22">
        <f>COUNTA('Team Wise'!D629:D631)</f>
        <v>3</v>
      </c>
      <c r="K215" s="22">
        <f>COUNTIF('Team Wise'!K629:K631,"Present")</f>
        <v>0</v>
      </c>
      <c r="L215" s="14"/>
      <c r="M215" s="14"/>
      <c r="N215" s="14"/>
      <c r="O215" s="14"/>
      <c r="P215" s="22" t="str">
        <f t="shared" si="9"/>
        <v/>
      </c>
      <c r="Q215" s="39" t="str">
        <f t="shared" si="10"/>
        <v/>
      </c>
      <c r="R215" s="22" t="str">
        <f t="shared" si="11"/>
        <v/>
      </c>
      <c r="S215" s="37"/>
    </row>
    <row r="216" spans="1:19" ht="84.75" customHeight="1" x14ac:dyDescent="0.35">
      <c r="A216" s="12">
        <v>211</v>
      </c>
      <c r="B216" s="12" t="s">
        <v>1742</v>
      </c>
      <c r="C216" s="11" t="s">
        <v>1743</v>
      </c>
      <c r="D216" s="11" t="s">
        <v>1746</v>
      </c>
      <c r="E216" s="11" t="s">
        <v>2269</v>
      </c>
      <c r="F216" s="11" t="s">
        <v>2270</v>
      </c>
      <c r="G216" s="11" t="s">
        <v>2271</v>
      </c>
      <c r="H216" s="11" t="s">
        <v>2225</v>
      </c>
      <c r="I216" s="35" t="s">
        <v>2272</v>
      </c>
      <c r="J216" s="12">
        <f>COUNTA('Team Wise'!D632:D634)</f>
        <v>3</v>
      </c>
      <c r="K216" s="12">
        <f>COUNTIF('Team Wise'!K632:K634,"Present")</f>
        <v>0</v>
      </c>
      <c r="L216" s="14"/>
      <c r="M216" s="14"/>
      <c r="N216" s="14"/>
      <c r="O216" s="14"/>
      <c r="P216" s="12" t="str">
        <f t="shared" si="9"/>
        <v/>
      </c>
      <c r="Q216" s="36" t="str">
        <f t="shared" si="10"/>
        <v/>
      </c>
      <c r="R216" s="12" t="str">
        <f t="shared" si="11"/>
        <v/>
      </c>
      <c r="S216" s="37"/>
    </row>
    <row r="217" spans="1:19" ht="44.25" customHeight="1" x14ac:dyDescent="0.35">
      <c r="A217" s="22">
        <v>212</v>
      </c>
      <c r="B217" s="22" t="s">
        <v>1751</v>
      </c>
      <c r="C217" s="21" t="s">
        <v>1752</v>
      </c>
      <c r="D217" s="21" t="s">
        <v>1746</v>
      </c>
      <c r="E217" s="21" t="s">
        <v>2273</v>
      </c>
      <c r="F217" s="21" t="s">
        <v>577</v>
      </c>
      <c r="G217" s="21" t="s">
        <v>92</v>
      </c>
      <c r="H217" s="21" t="s">
        <v>55</v>
      </c>
      <c r="I217" s="38" t="s">
        <v>2272</v>
      </c>
      <c r="J217" s="22">
        <f>COUNTA('Team Wise'!D635:D637)</f>
        <v>3</v>
      </c>
      <c r="K217" s="22">
        <f>COUNTIF('Team Wise'!K635:K637,"Present")</f>
        <v>0</v>
      </c>
      <c r="L217" s="14"/>
      <c r="M217" s="14"/>
      <c r="N217" s="14"/>
      <c r="O217" s="14"/>
      <c r="P217" s="22" t="str">
        <f t="shared" si="9"/>
        <v/>
      </c>
      <c r="Q217" s="39" t="str">
        <f t="shared" si="10"/>
        <v/>
      </c>
      <c r="R217" s="22" t="str">
        <f t="shared" si="11"/>
        <v/>
      </c>
      <c r="S217" s="37"/>
    </row>
    <row r="218" spans="1:19" ht="44.25" customHeight="1" x14ac:dyDescent="0.35">
      <c r="A218" s="12">
        <v>213</v>
      </c>
      <c r="B218" s="12" t="s">
        <v>1756</v>
      </c>
      <c r="C218" s="11" t="s">
        <v>1757</v>
      </c>
      <c r="D218" s="11" t="s">
        <v>1746</v>
      </c>
      <c r="E218" s="11" t="s">
        <v>2274</v>
      </c>
      <c r="F218" s="11" t="s">
        <v>243</v>
      </c>
      <c r="G218" s="11" t="s">
        <v>92</v>
      </c>
      <c r="H218" s="11" t="s">
        <v>55</v>
      </c>
      <c r="I218" s="35" t="s">
        <v>2272</v>
      </c>
      <c r="J218" s="12">
        <f>COUNTA('Team Wise'!D638:D640)</f>
        <v>3</v>
      </c>
      <c r="K218" s="12">
        <f>COUNTIF('Team Wise'!K638:K640,"Present")</f>
        <v>0</v>
      </c>
      <c r="L218" s="14"/>
      <c r="M218" s="14"/>
      <c r="N218" s="14"/>
      <c r="O218" s="14"/>
      <c r="P218" s="12" t="str">
        <f t="shared" si="9"/>
        <v/>
      </c>
      <c r="Q218" s="36" t="str">
        <f t="shared" si="10"/>
        <v/>
      </c>
      <c r="R218" s="12" t="str">
        <f t="shared" si="11"/>
        <v/>
      </c>
      <c r="S218" s="37"/>
    </row>
    <row r="219" spans="1:19" ht="44.25" customHeight="1" x14ac:dyDescent="0.35">
      <c r="A219" s="22">
        <v>214</v>
      </c>
      <c r="B219" s="22" t="s">
        <v>1761</v>
      </c>
      <c r="C219" s="21" t="s">
        <v>1762</v>
      </c>
      <c r="D219" s="21" t="s">
        <v>1746</v>
      </c>
      <c r="E219" s="21" t="s">
        <v>2275</v>
      </c>
      <c r="F219" s="21" t="s">
        <v>577</v>
      </c>
      <c r="G219" s="21" t="s">
        <v>92</v>
      </c>
      <c r="H219" s="21" t="s">
        <v>55</v>
      </c>
      <c r="I219" s="38" t="s">
        <v>2272</v>
      </c>
      <c r="J219" s="22">
        <f>COUNTA('Team Wise'!D641:D643)</f>
        <v>3</v>
      </c>
      <c r="K219" s="22">
        <f>COUNTIF('Team Wise'!K641:K643,"Present")</f>
        <v>0</v>
      </c>
      <c r="L219" s="14"/>
      <c r="M219" s="14"/>
      <c r="N219" s="14"/>
      <c r="O219" s="14"/>
      <c r="P219" s="22" t="str">
        <f t="shared" si="9"/>
        <v/>
      </c>
      <c r="Q219" s="39" t="str">
        <f t="shared" si="10"/>
        <v/>
      </c>
      <c r="R219" s="22" t="str">
        <f t="shared" si="11"/>
        <v/>
      </c>
      <c r="S219" s="37"/>
    </row>
  </sheetData>
  <autoFilter ref="A5:S219" xr:uid="{00000000-0001-0000-0100-000000000000}"/>
  <dataValidations count="4">
    <dataValidation type="decimal" allowBlank="1" showErrorMessage="1" errorTitle="Invalid" error="Marks must be between 0 and the max marks." sqref="L6:L219" xr:uid="{00000000-0002-0000-0100-000000000000}">
      <formula1>0</formula1>
      <formula2>$L$4</formula2>
    </dataValidation>
    <dataValidation type="decimal" allowBlank="1" showErrorMessage="1" errorTitle="Invalid" error="Marks must be between 0 and the max marks." sqref="M6:M219" xr:uid="{00000000-0002-0000-0100-000001000000}">
      <formula1>0</formula1>
      <formula2>$M$4</formula2>
    </dataValidation>
    <dataValidation type="decimal" allowBlank="1" showErrorMessage="1" errorTitle="Invalid" error="Marks must be between 0 and the max marks." sqref="N6:N219" xr:uid="{00000000-0002-0000-0100-000002000000}">
      <formula1>0</formula1>
      <formula2>$N$4</formula2>
    </dataValidation>
    <dataValidation type="decimal" allowBlank="1" showErrorMessage="1" errorTitle="Invalid" error="Marks must be between 0 and the max marks." sqref="O6:O219" xr:uid="{00000000-0002-0000-0100-000003000000}">
      <formula1>0</formula1>
      <formula2>$O$4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AAF1-46FE-47EF-8E3C-A1F592E3B3DC}">
  <dimension ref="A5:L181"/>
  <sheetViews>
    <sheetView topLeftCell="A172" zoomScale="85" zoomScaleNormal="85" workbookViewId="0">
      <selection activeCell="N9" sqref="N9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37.5" x14ac:dyDescent="0.35">
      <c r="A6" s="12">
        <v>1</v>
      </c>
      <c r="B6" s="12" t="s">
        <v>13</v>
      </c>
      <c r="C6" s="11" t="s">
        <v>14</v>
      </c>
      <c r="D6" s="11" t="s">
        <v>20</v>
      </c>
      <c r="E6" s="11" t="s">
        <v>1781</v>
      </c>
      <c r="F6" s="11" t="s">
        <v>17</v>
      </c>
      <c r="G6" s="11" t="s">
        <v>18</v>
      </c>
      <c r="H6" s="11" t="s">
        <v>19</v>
      </c>
      <c r="I6" s="35" t="s">
        <v>1782</v>
      </c>
      <c r="J6" s="41">
        <v>3</v>
      </c>
      <c r="K6" s="44"/>
      <c r="L6" s="44"/>
    </row>
    <row r="7" spans="1:12" ht="37.5" x14ac:dyDescent="0.35">
      <c r="A7" s="22">
        <v>2</v>
      </c>
      <c r="B7" s="22" t="s">
        <v>27</v>
      </c>
      <c r="C7" s="21" t="s">
        <v>28</v>
      </c>
      <c r="D7" s="21" t="s">
        <v>20</v>
      </c>
      <c r="E7" s="21" t="s">
        <v>1783</v>
      </c>
      <c r="F7" s="21" t="s">
        <v>17</v>
      </c>
      <c r="G7" s="21" t="s">
        <v>1784</v>
      </c>
      <c r="H7" s="21" t="s">
        <v>31</v>
      </c>
      <c r="I7" s="38" t="s">
        <v>1785</v>
      </c>
      <c r="J7" s="42">
        <f>COUNTA('Team Wise'!D6:D8)</f>
        <v>3</v>
      </c>
      <c r="K7" s="44"/>
      <c r="L7" s="44"/>
    </row>
    <row r="8" spans="1:12" ht="37.5" x14ac:dyDescent="0.35">
      <c r="A8" s="12">
        <v>3</v>
      </c>
      <c r="B8" s="12" t="s">
        <v>39</v>
      </c>
      <c r="C8" s="11" t="s">
        <v>40</v>
      </c>
      <c r="D8" s="11" t="s">
        <v>20</v>
      </c>
      <c r="E8" s="11" t="s">
        <v>1786</v>
      </c>
      <c r="F8" s="11" t="s">
        <v>17</v>
      </c>
      <c r="G8" s="11" t="s">
        <v>42</v>
      </c>
      <c r="H8" s="11" t="s">
        <v>31</v>
      </c>
      <c r="I8" s="35" t="s">
        <v>1787</v>
      </c>
      <c r="J8" s="41">
        <f>COUNTA('Team Wise'!D9:D11)</f>
        <v>3</v>
      </c>
      <c r="K8" s="44"/>
      <c r="L8" s="44"/>
    </row>
    <row r="9" spans="1:12" ht="37.5" x14ac:dyDescent="0.35">
      <c r="A9" s="22">
        <v>4</v>
      </c>
      <c r="B9" s="22" t="s">
        <v>48</v>
      </c>
      <c r="C9" s="21" t="s">
        <v>49</v>
      </c>
      <c r="D9" s="21" t="s">
        <v>20</v>
      </c>
      <c r="E9" s="21" t="s">
        <v>1788</v>
      </c>
      <c r="F9" s="21" t="s">
        <v>17</v>
      </c>
      <c r="G9" s="21" t="s">
        <v>1789</v>
      </c>
      <c r="H9" s="21" t="s">
        <v>1790</v>
      </c>
      <c r="I9" s="38" t="s">
        <v>1791</v>
      </c>
      <c r="J9" s="42">
        <f>COUNTA('Team Wise'!D12:D14)</f>
        <v>3</v>
      </c>
      <c r="K9" s="44"/>
      <c r="L9" s="44"/>
    </row>
    <row r="10" spans="1:12" ht="37.5" x14ac:dyDescent="0.35">
      <c r="A10" s="12">
        <v>5</v>
      </c>
      <c r="B10" s="12" t="s">
        <v>57</v>
      </c>
      <c r="C10" s="11" t="s">
        <v>58</v>
      </c>
      <c r="D10" s="11" t="s">
        <v>20</v>
      </c>
      <c r="E10" s="11" t="s">
        <v>1792</v>
      </c>
      <c r="F10" s="11" t="s">
        <v>17</v>
      </c>
      <c r="G10" s="11" t="s">
        <v>18</v>
      </c>
      <c r="H10" s="11" t="s">
        <v>31</v>
      </c>
      <c r="I10" s="35" t="s">
        <v>1793</v>
      </c>
      <c r="J10" s="41">
        <f>COUNTA('Team Wise'!D15:D17)</f>
        <v>3</v>
      </c>
      <c r="K10" s="44"/>
      <c r="L10" s="44"/>
    </row>
    <row r="11" spans="1:12" ht="50" x14ac:dyDescent="0.35">
      <c r="A11" s="22">
        <v>6</v>
      </c>
      <c r="B11" s="22" t="s">
        <v>65</v>
      </c>
      <c r="C11" s="21" t="s">
        <v>66</v>
      </c>
      <c r="D11" s="21" t="s">
        <v>20</v>
      </c>
      <c r="E11" s="21" t="s">
        <v>1794</v>
      </c>
      <c r="F11" s="21" t="s">
        <v>17</v>
      </c>
      <c r="G11" s="21" t="s">
        <v>1795</v>
      </c>
      <c r="H11" s="21" t="s">
        <v>55</v>
      </c>
      <c r="I11" s="38" t="s">
        <v>1796</v>
      </c>
      <c r="J11" s="42">
        <f>COUNTA('Team Wise'!D18:D20)</f>
        <v>3</v>
      </c>
      <c r="K11" s="44"/>
      <c r="L11" s="44"/>
    </row>
    <row r="12" spans="1:12" ht="37.5" x14ac:dyDescent="0.35">
      <c r="A12" s="12">
        <v>7</v>
      </c>
      <c r="B12" s="12" t="s">
        <v>73</v>
      </c>
      <c r="C12" s="11" t="s">
        <v>74</v>
      </c>
      <c r="D12" s="11" t="s">
        <v>20</v>
      </c>
      <c r="E12" s="11" t="s">
        <v>1797</v>
      </c>
      <c r="F12" s="11" t="s">
        <v>17</v>
      </c>
      <c r="G12" s="11" t="s">
        <v>30</v>
      </c>
      <c r="H12" s="11" t="s">
        <v>31</v>
      </c>
      <c r="I12" s="35" t="s">
        <v>1798</v>
      </c>
      <c r="J12" s="41">
        <f>COUNTA('Team Wise'!D21:D23)</f>
        <v>3</v>
      </c>
      <c r="K12" s="44"/>
      <c r="L12" s="44"/>
    </row>
    <row r="13" spans="1:12" ht="50" x14ac:dyDescent="0.35">
      <c r="A13" s="22">
        <v>8</v>
      </c>
      <c r="B13" s="22" t="s">
        <v>81</v>
      </c>
      <c r="C13" s="21" t="s">
        <v>82</v>
      </c>
      <c r="D13" s="21" t="s">
        <v>20</v>
      </c>
      <c r="E13" s="21" t="s">
        <v>1799</v>
      </c>
      <c r="F13" s="21" t="s">
        <v>17</v>
      </c>
      <c r="G13" s="21" t="s">
        <v>1800</v>
      </c>
      <c r="H13" s="21" t="s">
        <v>55</v>
      </c>
      <c r="I13" s="38" t="s">
        <v>1801</v>
      </c>
      <c r="J13" s="42">
        <f>COUNTA('Team Wise'!D24:D26)</f>
        <v>3</v>
      </c>
      <c r="K13" s="44"/>
      <c r="L13" s="44"/>
    </row>
    <row r="14" spans="1:12" ht="37.5" x14ac:dyDescent="0.35">
      <c r="A14" s="12">
        <v>9</v>
      </c>
      <c r="B14" s="12" t="s">
        <v>89</v>
      </c>
      <c r="C14" s="11" t="s">
        <v>90</v>
      </c>
      <c r="D14" s="11" t="s">
        <v>20</v>
      </c>
      <c r="E14" s="11" t="s">
        <v>1802</v>
      </c>
      <c r="F14" s="11" t="s">
        <v>17</v>
      </c>
      <c r="G14" s="11" t="s">
        <v>92</v>
      </c>
      <c r="H14" s="11" t="s">
        <v>55</v>
      </c>
      <c r="I14" s="35" t="s">
        <v>1803</v>
      </c>
      <c r="J14" s="41">
        <f>COUNTA('Team Wise'!D27:D29)</f>
        <v>3</v>
      </c>
      <c r="K14" s="44"/>
      <c r="L14" s="44"/>
    </row>
    <row r="15" spans="1:12" ht="37.5" x14ac:dyDescent="0.35">
      <c r="A15" s="22">
        <v>10</v>
      </c>
      <c r="B15" s="22" t="s">
        <v>98</v>
      </c>
      <c r="C15" s="21" t="s">
        <v>99</v>
      </c>
      <c r="D15" s="21" t="s">
        <v>20</v>
      </c>
      <c r="E15" s="21" t="s">
        <v>1804</v>
      </c>
      <c r="F15" s="21" t="s">
        <v>17</v>
      </c>
      <c r="G15" s="21" t="s">
        <v>42</v>
      </c>
      <c r="H15" s="21" t="s">
        <v>31</v>
      </c>
      <c r="I15" s="38" t="s">
        <v>1805</v>
      </c>
      <c r="J15" s="42">
        <f>COUNTA('Team Wise'!D30:D32)</f>
        <v>3</v>
      </c>
      <c r="K15" s="44"/>
      <c r="L15" s="44"/>
    </row>
    <row r="16" spans="1:12" ht="37.5" x14ac:dyDescent="0.35">
      <c r="A16" s="12">
        <v>11</v>
      </c>
      <c r="B16" s="12" t="s">
        <v>106</v>
      </c>
      <c r="C16" s="11" t="s">
        <v>107</v>
      </c>
      <c r="D16" s="11" t="s">
        <v>20</v>
      </c>
      <c r="E16" s="11" t="s">
        <v>1806</v>
      </c>
      <c r="F16" s="11" t="s">
        <v>17</v>
      </c>
      <c r="G16" s="11" t="s">
        <v>92</v>
      </c>
      <c r="H16" s="11" t="s">
        <v>31</v>
      </c>
      <c r="I16" s="35" t="s">
        <v>1807</v>
      </c>
      <c r="J16" s="41">
        <f>COUNTA('Team Wise'!D33:D35)</f>
        <v>3</v>
      </c>
      <c r="K16" s="44"/>
      <c r="L16" s="44"/>
    </row>
    <row r="17" spans="1:12" ht="37.5" x14ac:dyDescent="0.35">
      <c r="A17" s="22">
        <v>12</v>
      </c>
      <c r="B17" s="22" t="s">
        <v>114</v>
      </c>
      <c r="C17" s="21" t="s">
        <v>115</v>
      </c>
      <c r="D17" s="21" t="s">
        <v>20</v>
      </c>
      <c r="E17" s="21" t="s">
        <v>1808</v>
      </c>
      <c r="F17" s="21" t="s">
        <v>17</v>
      </c>
      <c r="G17" s="21" t="s">
        <v>42</v>
      </c>
      <c r="H17" s="21" t="s">
        <v>31</v>
      </c>
      <c r="I17" s="38" t="s">
        <v>1809</v>
      </c>
      <c r="J17" s="42">
        <f>COUNTA('Team Wise'!D36:D38)</f>
        <v>3</v>
      </c>
      <c r="K17" s="44"/>
      <c r="L17" s="44"/>
    </row>
    <row r="18" spans="1:12" ht="37.5" x14ac:dyDescent="0.35">
      <c r="A18" s="12">
        <v>13</v>
      </c>
      <c r="B18" s="12" t="s">
        <v>122</v>
      </c>
      <c r="C18" s="11" t="s">
        <v>123</v>
      </c>
      <c r="D18" s="11" t="s">
        <v>20</v>
      </c>
      <c r="E18" s="11" t="s">
        <v>1810</v>
      </c>
      <c r="F18" s="11" t="s">
        <v>17</v>
      </c>
      <c r="G18" s="11" t="s">
        <v>1811</v>
      </c>
      <c r="H18" s="11" t="s">
        <v>55</v>
      </c>
      <c r="I18" s="35" t="s">
        <v>1812</v>
      </c>
      <c r="J18" s="41">
        <f>COUNTA('Team Wise'!D39:D41)</f>
        <v>3</v>
      </c>
      <c r="K18" s="44"/>
      <c r="L18" s="44"/>
    </row>
    <row r="19" spans="1:12" ht="50" x14ac:dyDescent="0.35">
      <c r="A19" s="22">
        <v>14</v>
      </c>
      <c r="B19" s="22" t="s">
        <v>130</v>
      </c>
      <c r="C19" s="21" t="s">
        <v>131</v>
      </c>
      <c r="D19" s="21" t="s">
        <v>20</v>
      </c>
      <c r="E19" s="21" t="s">
        <v>1813</v>
      </c>
      <c r="F19" s="21" t="s">
        <v>1814</v>
      </c>
      <c r="G19" s="21" t="s">
        <v>1800</v>
      </c>
      <c r="H19" s="21" t="s">
        <v>31</v>
      </c>
      <c r="I19" s="38" t="s">
        <v>1815</v>
      </c>
      <c r="J19" s="42">
        <f>COUNTA('Team Wise'!D42:D44)</f>
        <v>3</v>
      </c>
      <c r="K19" s="44"/>
      <c r="L19" s="44"/>
    </row>
    <row r="20" spans="1:12" ht="37.5" x14ac:dyDescent="0.35">
      <c r="A20" s="12">
        <v>15</v>
      </c>
      <c r="B20" s="12" t="s">
        <v>140</v>
      </c>
      <c r="C20" s="11" t="s">
        <v>141</v>
      </c>
      <c r="D20" s="11" t="s">
        <v>20</v>
      </c>
      <c r="E20" s="11" t="s">
        <v>1816</v>
      </c>
      <c r="F20" s="11" t="s">
        <v>17</v>
      </c>
      <c r="G20" s="11" t="s">
        <v>92</v>
      </c>
      <c r="H20" s="11" t="s">
        <v>31</v>
      </c>
      <c r="I20" s="35" t="s">
        <v>1817</v>
      </c>
      <c r="J20" s="41">
        <f>COUNTA('Team Wise'!D45:D47)</f>
        <v>3</v>
      </c>
      <c r="K20" s="44"/>
      <c r="L20" s="44"/>
    </row>
    <row r="21" spans="1:12" ht="37.5" x14ac:dyDescent="0.35">
      <c r="A21" s="22">
        <v>16</v>
      </c>
      <c r="B21" s="22" t="s">
        <v>148</v>
      </c>
      <c r="C21" s="21" t="s">
        <v>149</v>
      </c>
      <c r="D21" s="21" t="s">
        <v>20</v>
      </c>
      <c r="E21" s="21" t="s">
        <v>1818</v>
      </c>
      <c r="F21" s="21" t="s">
        <v>17</v>
      </c>
      <c r="G21" s="21" t="s">
        <v>42</v>
      </c>
      <c r="H21" s="21" t="s">
        <v>55</v>
      </c>
      <c r="I21" s="38" t="s">
        <v>1819</v>
      </c>
      <c r="J21" s="42">
        <f>COUNTA('Team Wise'!D48:D50)</f>
        <v>3</v>
      </c>
      <c r="K21" s="44"/>
      <c r="L21" s="44"/>
    </row>
    <row r="22" spans="1:12" ht="37.5" x14ac:dyDescent="0.35">
      <c r="A22" s="12">
        <v>17</v>
      </c>
      <c r="B22" s="12" t="s">
        <v>156</v>
      </c>
      <c r="C22" s="11" t="s">
        <v>157</v>
      </c>
      <c r="D22" s="11" t="s">
        <v>20</v>
      </c>
      <c r="E22" s="11" t="s">
        <v>1820</v>
      </c>
      <c r="F22" s="11" t="s">
        <v>17</v>
      </c>
      <c r="G22" s="11" t="s">
        <v>92</v>
      </c>
      <c r="H22" s="11" t="s">
        <v>31</v>
      </c>
      <c r="I22" s="35" t="s">
        <v>1821</v>
      </c>
      <c r="J22" s="41">
        <f>COUNTA('Team Wise'!D51:D53)</f>
        <v>3</v>
      </c>
      <c r="K22" s="44"/>
      <c r="L22" s="44"/>
    </row>
    <row r="23" spans="1:12" ht="50" x14ac:dyDescent="0.35">
      <c r="A23" s="22">
        <v>18</v>
      </c>
      <c r="B23" s="22" t="s">
        <v>164</v>
      </c>
      <c r="C23" s="21" t="s">
        <v>165</v>
      </c>
      <c r="D23" s="21" t="s">
        <v>20</v>
      </c>
      <c r="E23" s="21" t="s">
        <v>1822</v>
      </c>
      <c r="F23" s="21" t="s">
        <v>167</v>
      </c>
      <c r="G23" s="21" t="s">
        <v>1800</v>
      </c>
      <c r="H23" s="21" t="s">
        <v>31</v>
      </c>
      <c r="I23" s="38" t="s">
        <v>1823</v>
      </c>
      <c r="J23" s="42">
        <f>COUNTA('Team Wise'!D54:D56)</f>
        <v>3</v>
      </c>
      <c r="K23" s="44"/>
      <c r="L23" s="44"/>
    </row>
    <row r="24" spans="1:12" ht="37.5" x14ac:dyDescent="0.35">
      <c r="A24" s="12">
        <v>19</v>
      </c>
      <c r="B24" s="12" t="s">
        <v>173</v>
      </c>
      <c r="C24" s="11" t="s">
        <v>174</v>
      </c>
      <c r="D24" s="11" t="s">
        <v>20</v>
      </c>
      <c r="E24" s="11" t="s">
        <v>1824</v>
      </c>
      <c r="F24" s="11" t="s">
        <v>17</v>
      </c>
      <c r="G24" s="11" t="s">
        <v>92</v>
      </c>
      <c r="H24" s="11" t="s">
        <v>31</v>
      </c>
      <c r="I24" s="35" t="s">
        <v>1825</v>
      </c>
      <c r="J24" s="41">
        <f>COUNTA('Team Wise'!D57:D59)</f>
        <v>3</v>
      </c>
      <c r="K24" s="44"/>
      <c r="L24" s="44"/>
    </row>
    <row r="25" spans="1:12" ht="37.5" x14ac:dyDescent="0.35">
      <c r="A25" s="22">
        <v>20</v>
      </c>
      <c r="B25" s="22" t="s">
        <v>181</v>
      </c>
      <c r="C25" s="21" t="s">
        <v>182</v>
      </c>
      <c r="D25" s="21" t="s">
        <v>20</v>
      </c>
      <c r="E25" s="21" t="s">
        <v>1826</v>
      </c>
      <c r="F25" s="21" t="s">
        <v>17</v>
      </c>
      <c r="G25" s="21" t="s">
        <v>92</v>
      </c>
      <c r="H25" s="21" t="s">
        <v>55</v>
      </c>
      <c r="I25" s="38" t="s">
        <v>1827</v>
      </c>
      <c r="J25" s="42">
        <f>COUNTA('Team Wise'!D60:D62)</f>
        <v>3</v>
      </c>
      <c r="K25" s="44"/>
      <c r="L25" s="44"/>
    </row>
    <row r="26" spans="1:12" ht="50" x14ac:dyDescent="0.35">
      <c r="A26" s="12">
        <v>21</v>
      </c>
      <c r="B26" s="12" t="s">
        <v>189</v>
      </c>
      <c r="C26" s="11" t="s">
        <v>190</v>
      </c>
      <c r="D26" s="11" t="s">
        <v>20</v>
      </c>
      <c r="E26" s="11" t="s">
        <v>1828</v>
      </c>
      <c r="F26" s="11" t="s">
        <v>192</v>
      </c>
      <c r="G26" s="11" t="s">
        <v>1800</v>
      </c>
      <c r="H26" s="11" t="s">
        <v>193</v>
      </c>
      <c r="I26" s="35" t="s">
        <v>1829</v>
      </c>
      <c r="J26" s="41">
        <f>COUNTA('Team Wise'!D63:D65)</f>
        <v>3</v>
      </c>
      <c r="K26" s="44"/>
      <c r="L26" s="44"/>
    </row>
    <row r="27" spans="1:12" ht="37.5" x14ac:dyDescent="0.35">
      <c r="A27" s="22">
        <v>22</v>
      </c>
      <c r="B27" s="22" t="s">
        <v>199</v>
      </c>
      <c r="C27" s="21" t="s">
        <v>200</v>
      </c>
      <c r="D27" s="21" t="s">
        <v>20</v>
      </c>
      <c r="E27" s="21" t="s">
        <v>1830</v>
      </c>
      <c r="F27" s="21" t="s">
        <v>17</v>
      </c>
      <c r="G27" s="21" t="s">
        <v>92</v>
      </c>
      <c r="H27" s="21" t="s">
        <v>55</v>
      </c>
      <c r="I27" s="38" t="s">
        <v>1831</v>
      </c>
      <c r="J27" s="42">
        <f>COUNTA('Team Wise'!D66:D68)</f>
        <v>3</v>
      </c>
      <c r="K27" s="44"/>
      <c r="L27" s="44"/>
    </row>
    <row r="28" spans="1:12" ht="37.5" x14ac:dyDescent="0.35">
      <c r="A28" s="12">
        <v>23</v>
      </c>
      <c r="B28" s="12" t="s">
        <v>207</v>
      </c>
      <c r="C28" s="11" t="s">
        <v>208</v>
      </c>
      <c r="D28" s="11" t="s">
        <v>20</v>
      </c>
      <c r="E28" s="11" t="s">
        <v>1832</v>
      </c>
      <c r="F28" s="11" t="s">
        <v>17</v>
      </c>
      <c r="G28" s="11" t="s">
        <v>92</v>
      </c>
      <c r="H28" s="11" t="s">
        <v>55</v>
      </c>
      <c r="I28" s="35" t="s">
        <v>1833</v>
      </c>
      <c r="J28" s="41">
        <f>COUNTA('Team Wise'!D69:D71)</f>
        <v>3</v>
      </c>
      <c r="K28" s="44"/>
      <c r="L28" s="44"/>
    </row>
    <row r="29" spans="1:12" ht="37.5" x14ac:dyDescent="0.35">
      <c r="A29" s="22">
        <v>24</v>
      </c>
      <c r="B29" s="22" t="s">
        <v>215</v>
      </c>
      <c r="C29" s="21" t="s">
        <v>216</v>
      </c>
      <c r="D29" s="21" t="s">
        <v>20</v>
      </c>
      <c r="E29" s="21" t="s">
        <v>1834</v>
      </c>
      <c r="F29" s="21" t="s">
        <v>218</v>
      </c>
      <c r="G29" s="21" t="s">
        <v>42</v>
      </c>
      <c r="H29" s="21" t="s">
        <v>31</v>
      </c>
      <c r="I29" s="38" t="s">
        <v>1835</v>
      </c>
      <c r="J29" s="42">
        <f>COUNTA('Team Wise'!D72:D74)</f>
        <v>3</v>
      </c>
      <c r="K29" s="44"/>
      <c r="L29" s="44"/>
    </row>
    <row r="30" spans="1:12" ht="37.5" x14ac:dyDescent="0.35">
      <c r="A30" s="12">
        <v>25</v>
      </c>
      <c r="B30" s="12" t="s">
        <v>224</v>
      </c>
      <c r="C30" s="11" t="s">
        <v>216</v>
      </c>
      <c r="D30" s="11" t="s">
        <v>20</v>
      </c>
      <c r="E30" s="11" t="s">
        <v>1836</v>
      </c>
      <c r="F30" s="11" t="s">
        <v>17</v>
      </c>
      <c r="G30" s="11" t="s">
        <v>42</v>
      </c>
      <c r="H30" s="11" t="s">
        <v>31</v>
      </c>
      <c r="I30" s="35" t="s">
        <v>1837</v>
      </c>
      <c r="J30" s="41">
        <f>COUNTA('Team Wise'!D75:D77)</f>
        <v>3</v>
      </c>
      <c r="K30" s="44"/>
      <c r="L30" s="44"/>
    </row>
    <row r="31" spans="1:12" ht="37.5" x14ac:dyDescent="0.35">
      <c r="A31" s="22">
        <v>26</v>
      </c>
      <c r="B31" s="22" t="s">
        <v>231</v>
      </c>
      <c r="C31" s="21" t="s">
        <v>232</v>
      </c>
      <c r="D31" s="21" t="s">
        <v>20</v>
      </c>
      <c r="E31" s="21" t="s">
        <v>1838</v>
      </c>
      <c r="F31" s="21" t="s">
        <v>234</v>
      </c>
      <c r="G31" s="21" t="s">
        <v>30</v>
      </c>
      <c r="H31" s="21" t="s">
        <v>55</v>
      </c>
      <c r="I31" s="38" t="s">
        <v>1839</v>
      </c>
      <c r="J31" s="42">
        <f>COUNTA('Team Wise'!D78:D80)</f>
        <v>3</v>
      </c>
      <c r="K31" s="44"/>
      <c r="L31" s="44"/>
    </row>
    <row r="32" spans="1:12" ht="50" x14ac:dyDescent="0.35">
      <c r="A32" s="12">
        <v>27</v>
      </c>
      <c r="B32" s="12" t="s">
        <v>240</v>
      </c>
      <c r="C32" s="11" t="s">
        <v>241</v>
      </c>
      <c r="D32" s="11" t="s">
        <v>20</v>
      </c>
      <c r="E32" s="11" t="s">
        <v>1840</v>
      </c>
      <c r="F32" s="11" t="s">
        <v>243</v>
      </c>
      <c r="G32" s="11" t="s">
        <v>92</v>
      </c>
      <c r="H32" s="11" t="s">
        <v>55</v>
      </c>
      <c r="I32" s="35" t="s">
        <v>1841</v>
      </c>
      <c r="J32" s="41">
        <f>COUNTA('Team Wise'!D81:D83)</f>
        <v>3</v>
      </c>
      <c r="K32" s="44"/>
      <c r="L32" s="44"/>
    </row>
    <row r="33" spans="1:12" ht="37.5" x14ac:dyDescent="0.35">
      <c r="A33" s="22">
        <v>28</v>
      </c>
      <c r="B33" s="22" t="s">
        <v>249</v>
      </c>
      <c r="C33" s="21" t="s">
        <v>250</v>
      </c>
      <c r="D33" s="21" t="s">
        <v>20</v>
      </c>
      <c r="E33" s="21" t="s">
        <v>1842</v>
      </c>
      <c r="F33" s="21" t="s">
        <v>17</v>
      </c>
      <c r="G33" s="21" t="s">
        <v>92</v>
      </c>
      <c r="H33" s="21" t="s">
        <v>55</v>
      </c>
      <c r="I33" s="38" t="s">
        <v>1843</v>
      </c>
      <c r="J33" s="42">
        <f>COUNTA('Team Wise'!D84:D86)</f>
        <v>3</v>
      </c>
      <c r="K33" s="44"/>
      <c r="L33" s="44"/>
    </row>
    <row r="34" spans="1:12" ht="37.5" x14ac:dyDescent="0.35">
      <c r="A34" s="12">
        <v>29</v>
      </c>
      <c r="B34" s="12" t="s">
        <v>257</v>
      </c>
      <c r="C34" s="11" t="s">
        <v>258</v>
      </c>
      <c r="D34" s="11" t="s">
        <v>20</v>
      </c>
      <c r="E34" s="11" t="s">
        <v>1844</v>
      </c>
      <c r="F34" s="11" t="s">
        <v>17</v>
      </c>
      <c r="G34" s="11" t="s">
        <v>92</v>
      </c>
      <c r="H34" s="11" t="s">
        <v>31</v>
      </c>
      <c r="I34" s="35" t="s">
        <v>1845</v>
      </c>
      <c r="J34" s="41">
        <f>COUNTA('Team Wise'!D87:D89)</f>
        <v>3</v>
      </c>
      <c r="K34" s="44"/>
      <c r="L34" s="44"/>
    </row>
    <row r="35" spans="1:12" ht="37.5" x14ac:dyDescent="0.35">
      <c r="A35" s="22">
        <v>30</v>
      </c>
      <c r="B35" s="22" t="s">
        <v>265</v>
      </c>
      <c r="C35" s="21" t="s">
        <v>266</v>
      </c>
      <c r="D35" s="21" t="s">
        <v>20</v>
      </c>
      <c r="E35" s="21" t="s">
        <v>1846</v>
      </c>
      <c r="F35" s="21" t="s">
        <v>17</v>
      </c>
      <c r="G35" s="21" t="s">
        <v>30</v>
      </c>
      <c r="H35" s="21" t="s">
        <v>31</v>
      </c>
      <c r="I35" s="38" t="s">
        <v>1847</v>
      </c>
      <c r="J35" s="42">
        <f>COUNTA('Team Wise'!D90:D92)</f>
        <v>3</v>
      </c>
      <c r="K35" s="44"/>
      <c r="L35" s="44"/>
    </row>
    <row r="36" spans="1:12" ht="37.5" x14ac:dyDescent="0.35">
      <c r="A36" s="12">
        <v>31</v>
      </c>
      <c r="B36" s="12" t="s">
        <v>273</v>
      </c>
      <c r="C36" s="11" t="s">
        <v>274</v>
      </c>
      <c r="D36" s="11" t="s">
        <v>20</v>
      </c>
      <c r="E36" s="11" t="s">
        <v>1848</v>
      </c>
      <c r="F36" s="11" t="s">
        <v>218</v>
      </c>
      <c r="G36" s="11" t="s">
        <v>42</v>
      </c>
      <c r="H36" s="11" t="s">
        <v>55</v>
      </c>
      <c r="I36" s="35" t="s">
        <v>1849</v>
      </c>
      <c r="J36" s="41">
        <f>COUNTA('Team Wise'!D93:D95)</f>
        <v>3</v>
      </c>
      <c r="K36" s="44"/>
      <c r="L36" s="44"/>
    </row>
    <row r="37" spans="1:12" ht="37.5" x14ac:dyDescent="0.35">
      <c r="A37" s="22">
        <v>32</v>
      </c>
      <c r="B37" s="22" t="s">
        <v>281</v>
      </c>
      <c r="C37" s="21" t="s">
        <v>282</v>
      </c>
      <c r="D37" s="21" t="s">
        <v>20</v>
      </c>
      <c r="E37" s="21" t="s">
        <v>1850</v>
      </c>
      <c r="F37" s="21" t="s">
        <v>284</v>
      </c>
      <c r="G37" s="21" t="s">
        <v>92</v>
      </c>
      <c r="H37" s="21" t="s">
        <v>1851</v>
      </c>
      <c r="I37" s="38" t="s">
        <v>1852</v>
      </c>
      <c r="J37" s="42">
        <f>COUNTA('Team Wise'!D96:D98)</f>
        <v>3</v>
      </c>
      <c r="K37" s="44"/>
      <c r="L37" s="44"/>
    </row>
    <row r="38" spans="1:12" ht="50" x14ac:dyDescent="0.35">
      <c r="A38" s="12">
        <v>33</v>
      </c>
      <c r="B38" s="12" t="s">
        <v>290</v>
      </c>
      <c r="C38" s="11" t="s">
        <v>291</v>
      </c>
      <c r="D38" s="11" t="s">
        <v>20</v>
      </c>
      <c r="E38" s="11" t="s">
        <v>1853</v>
      </c>
      <c r="F38" s="11" t="s">
        <v>1854</v>
      </c>
      <c r="G38" s="11" t="s">
        <v>1855</v>
      </c>
      <c r="H38" s="11" t="s">
        <v>55</v>
      </c>
      <c r="I38" s="35" t="s">
        <v>1856</v>
      </c>
      <c r="J38" s="41">
        <f>COUNTA('Team Wise'!D99:D101)</f>
        <v>3</v>
      </c>
      <c r="K38" s="44"/>
      <c r="L38" s="44"/>
    </row>
    <row r="39" spans="1:12" ht="37.5" x14ac:dyDescent="0.35">
      <c r="A39" s="22">
        <v>34</v>
      </c>
      <c r="B39" s="22" t="s">
        <v>302</v>
      </c>
      <c r="C39" s="21" t="s">
        <v>303</v>
      </c>
      <c r="D39" s="21" t="s">
        <v>20</v>
      </c>
      <c r="E39" s="21" t="s">
        <v>1857</v>
      </c>
      <c r="F39" s="21" t="s">
        <v>17</v>
      </c>
      <c r="G39" s="21" t="s">
        <v>92</v>
      </c>
      <c r="H39" s="21" t="s">
        <v>31</v>
      </c>
      <c r="I39" s="38" t="s">
        <v>1858</v>
      </c>
      <c r="J39" s="42">
        <f>COUNTA('Team Wise'!D102:D104)</f>
        <v>3</v>
      </c>
      <c r="K39" s="44"/>
      <c r="L39" s="44"/>
    </row>
    <row r="40" spans="1:12" ht="50" x14ac:dyDescent="0.35">
      <c r="A40" s="12">
        <v>35</v>
      </c>
      <c r="B40" s="12" t="s">
        <v>310</v>
      </c>
      <c r="C40" s="11" t="s">
        <v>303</v>
      </c>
      <c r="D40" s="11" t="s">
        <v>20</v>
      </c>
      <c r="E40" s="11" t="s">
        <v>1859</v>
      </c>
      <c r="F40" s="11" t="s">
        <v>17</v>
      </c>
      <c r="G40" s="11" t="s">
        <v>42</v>
      </c>
      <c r="H40" s="11" t="s">
        <v>55</v>
      </c>
      <c r="I40" s="35" t="s">
        <v>1860</v>
      </c>
      <c r="J40" s="41">
        <f>COUNTA('Team Wise'!D105:D107)</f>
        <v>3</v>
      </c>
      <c r="K40" s="44"/>
      <c r="L40" s="44"/>
    </row>
    <row r="41" spans="1:12" ht="50" x14ac:dyDescent="0.35">
      <c r="A41" s="22">
        <v>36</v>
      </c>
      <c r="B41" s="22" t="s">
        <v>317</v>
      </c>
      <c r="C41" s="21" t="s">
        <v>318</v>
      </c>
      <c r="D41" s="21" t="s">
        <v>20</v>
      </c>
      <c r="E41" s="21" t="s">
        <v>1861</v>
      </c>
      <c r="F41" s="21" t="s">
        <v>1862</v>
      </c>
      <c r="G41" s="21" t="s">
        <v>1863</v>
      </c>
      <c r="H41" s="21" t="s">
        <v>55</v>
      </c>
      <c r="I41" s="38" t="s">
        <v>1864</v>
      </c>
      <c r="J41" s="42">
        <f>COUNTA('Team Wise'!D108:D110)</f>
        <v>3</v>
      </c>
      <c r="K41" s="44"/>
      <c r="L41" s="44"/>
    </row>
    <row r="42" spans="1:12" ht="37.5" x14ac:dyDescent="0.35">
      <c r="A42" s="12">
        <v>37</v>
      </c>
      <c r="B42" s="12" t="s">
        <v>328</v>
      </c>
      <c r="C42" s="11" t="s">
        <v>329</v>
      </c>
      <c r="D42" s="11" t="s">
        <v>20</v>
      </c>
      <c r="E42" s="11" t="s">
        <v>1865</v>
      </c>
      <c r="F42" s="11" t="s">
        <v>17</v>
      </c>
      <c r="G42" s="11" t="s">
        <v>92</v>
      </c>
      <c r="H42" s="11" t="s">
        <v>31</v>
      </c>
      <c r="I42" s="35" t="s">
        <v>1866</v>
      </c>
      <c r="J42" s="41">
        <f>COUNTA('Team Wise'!D111:D113)</f>
        <v>3</v>
      </c>
      <c r="K42" s="44"/>
      <c r="L42" s="44"/>
    </row>
    <row r="43" spans="1:12" ht="37.5" x14ac:dyDescent="0.35">
      <c r="A43" s="22">
        <v>38</v>
      </c>
      <c r="B43" s="22" t="s">
        <v>336</v>
      </c>
      <c r="C43" s="21" t="s">
        <v>337</v>
      </c>
      <c r="D43" s="21" t="s">
        <v>20</v>
      </c>
      <c r="E43" s="21" t="s">
        <v>1867</v>
      </c>
      <c r="F43" s="21" t="s">
        <v>17</v>
      </c>
      <c r="G43" s="21" t="s">
        <v>30</v>
      </c>
      <c r="H43" s="21" t="s">
        <v>55</v>
      </c>
      <c r="I43" s="38" t="s">
        <v>1868</v>
      </c>
      <c r="J43" s="42">
        <f>COUNTA('Team Wise'!D114:D116)</f>
        <v>3</v>
      </c>
      <c r="K43" s="44"/>
      <c r="L43" s="44"/>
    </row>
    <row r="44" spans="1:12" ht="37.5" x14ac:dyDescent="0.35">
      <c r="A44" s="12">
        <v>39</v>
      </c>
      <c r="B44" s="12" t="s">
        <v>344</v>
      </c>
      <c r="C44" s="11" t="s">
        <v>345</v>
      </c>
      <c r="D44" s="11" t="s">
        <v>20</v>
      </c>
      <c r="E44" s="11" t="s">
        <v>1869</v>
      </c>
      <c r="F44" s="11" t="s">
        <v>234</v>
      </c>
      <c r="G44" s="11" t="s">
        <v>1870</v>
      </c>
      <c r="H44" s="11" t="s">
        <v>55</v>
      </c>
      <c r="I44" s="35" t="s">
        <v>1871</v>
      </c>
      <c r="J44" s="41">
        <f>COUNTA('Team Wise'!D117:D119)</f>
        <v>3</v>
      </c>
      <c r="K44" s="44"/>
      <c r="L44" s="44"/>
    </row>
    <row r="45" spans="1:12" ht="37.5" x14ac:dyDescent="0.35">
      <c r="A45" s="22">
        <v>40</v>
      </c>
      <c r="B45" s="22" t="s">
        <v>352</v>
      </c>
      <c r="C45" s="21" t="s">
        <v>353</v>
      </c>
      <c r="D45" s="21" t="s">
        <v>20</v>
      </c>
      <c r="E45" s="21" t="s">
        <v>1872</v>
      </c>
      <c r="F45" s="21" t="s">
        <v>17</v>
      </c>
      <c r="G45" s="21" t="s">
        <v>18</v>
      </c>
      <c r="H45" s="21" t="s">
        <v>55</v>
      </c>
      <c r="I45" s="38" t="s">
        <v>1873</v>
      </c>
      <c r="J45" s="42">
        <f>COUNTA('Team Wise'!D120:D122)</f>
        <v>3</v>
      </c>
      <c r="K45" s="44"/>
      <c r="L45" s="44"/>
    </row>
    <row r="46" spans="1:12" ht="75" x14ac:dyDescent="0.35">
      <c r="A46" s="12">
        <v>41</v>
      </c>
      <c r="B46" s="12" t="s">
        <v>360</v>
      </c>
      <c r="C46" s="11" t="s">
        <v>361</v>
      </c>
      <c r="D46" s="11" t="s">
        <v>20</v>
      </c>
      <c r="E46" s="11" t="s">
        <v>1874</v>
      </c>
      <c r="F46" s="11" t="s">
        <v>17</v>
      </c>
      <c r="G46" s="11" t="s">
        <v>42</v>
      </c>
      <c r="H46" s="11" t="s">
        <v>31</v>
      </c>
      <c r="I46" s="35" t="s">
        <v>1875</v>
      </c>
      <c r="J46" s="41">
        <f>COUNTA('Team Wise'!D123:D125)</f>
        <v>3</v>
      </c>
      <c r="K46" s="44"/>
      <c r="L46" s="44"/>
    </row>
    <row r="47" spans="1:12" ht="37.5" x14ac:dyDescent="0.35">
      <c r="A47" s="22">
        <v>42</v>
      </c>
      <c r="B47" s="22" t="s">
        <v>368</v>
      </c>
      <c r="C47" s="21" t="s">
        <v>369</v>
      </c>
      <c r="D47" s="21" t="s">
        <v>20</v>
      </c>
      <c r="E47" s="21" t="s">
        <v>1876</v>
      </c>
      <c r="F47" s="21" t="s">
        <v>371</v>
      </c>
      <c r="G47" s="21" t="s">
        <v>92</v>
      </c>
      <c r="H47" s="21" t="s">
        <v>31</v>
      </c>
      <c r="I47" s="38" t="s">
        <v>1877</v>
      </c>
      <c r="J47" s="42">
        <f>COUNTA('Team Wise'!D126:D128)</f>
        <v>3</v>
      </c>
      <c r="K47" s="44"/>
      <c r="L47" s="44"/>
    </row>
    <row r="48" spans="1:12" ht="37.5" x14ac:dyDescent="0.35">
      <c r="A48" s="12">
        <v>43</v>
      </c>
      <c r="B48" s="12" t="s">
        <v>377</v>
      </c>
      <c r="C48" s="11" t="s">
        <v>378</v>
      </c>
      <c r="D48" s="11" t="s">
        <v>20</v>
      </c>
      <c r="E48" s="11" t="s">
        <v>1878</v>
      </c>
      <c r="F48" s="11" t="s">
        <v>380</v>
      </c>
      <c r="G48" s="11" t="s">
        <v>30</v>
      </c>
      <c r="H48" s="11" t="s">
        <v>31</v>
      </c>
      <c r="I48" s="35" t="s">
        <v>1879</v>
      </c>
      <c r="J48" s="41">
        <f>COUNTA('Team Wise'!D129:D131)</f>
        <v>3</v>
      </c>
      <c r="K48" s="44"/>
      <c r="L48" s="44"/>
    </row>
    <row r="49" spans="1:12" ht="50" x14ac:dyDescent="0.35">
      <c r="A49" s="22">
        <v>44</v>
      </c>
      <c r="B49" s="22" t="s">
        <v>386</v>
      </c>
      <c r="C49" s="21" t="s">
        <v>387</v>
      </c>
      <c r="D49" s="21" t="s">
        <v>20</v>
      </c>
      <c r="E49" s="21" t="s">
        <v>1880</v>
      </c>
      <c r="F49" s="21" t="s">
        <v>17</v>
      </c>
      <c r="G49" s="21" t="s">
        <v>92</v>
      </c>
      <c r="H49" s="21" t="s">
        <v>55</v>
      </c>
      <c r="I49" s="38" t="s">
        <v>1881</v>
      </c>
      <c r="J49" s="42">
        <f>COUNTA('Team Wise'!D132:D134)</f>
        <v>3</v>
      </c>
      <c r="K49" s="44"/>
      <c r="L49" s="44"/>
    </row>
    <row r="50" spans="1:12" ht="50" x14ac:dyDescent="0.35">
      <c r="A50" s="12">
        <v>45</v>
      </c>
      <c r="B50" s="12" t="s">
        <v>394</v>
      </c>
      <c r="C50" s="11" t="s">
        <v>395</v>
      </c>
      <c r="D50" s="11" t="s">
        <v>20</v>
      </c>
      <c r="E50" s="11" t="s">
        <v>1882</v>
      </c>
      <c r="F50" s="11" t="s">
        <v>371</v>
      </c>
      <c r="G50" s="11" t="s">
        <v>92</v>
      </c>
      <c r="H50" s="11" t="s">
        <v>31</v>
      </c>
      <c r="I50" s="35" t="s">
        <v>1883</v>
      </c>
      <c r="J50" s="41">
        <f>COUNTA('Team Wise'!D135:D137)</f>
        <v>3</v>
      </c>
      <c r="K50" s="44"/>
      <c r="L50" s="44"/>
    </row>
    <row r="51" spans="1:12" ht="37.5" x14ac:dyDescent="0.35">
      <c r="A51" s="22">
        <v>46</v>
      </c>
      <c r="B51" s="22" t="s">
        <v>402</v>
      </c>
      <c r="C51" s="21" t="s">
        <v>403</v>
      </c>
      <c r="D51" s="21" t="s">
        <v>20</v>
      </c>
      <c r="E51" s="21" t="s">
        <v>1884</v>
      </c>
      <c r="F51" s="21" t="s">
        <v>17</v>
      </c>
      <c r="G51" s="21" t="s">
        <v>30</v>
      </c>
      <c r="H51" s="21" t="s">
        <v>31</v>
      </c>
      <c r="I51" s="38" t="s">
        <v>1885</v>
      </c>
      <c r="J51" s="42">
        <f>COUNTA('Team Wise'!D138:D140)</f>
        <v>3</v>
      </c>
      <c r="K51" s="44"/>
      <c r="L51" s="44"/>
    </row>
    <row r="52" spans="1:12" ht="75" x14ac:dyDescent="0.35">
      <c r="A52" s="12">
        <v>47</v>
      </c>
      <c r="B52" s="12" t="s">
        <v>410</v>
      </c>
      <c r="C52" s="11" t="s">
        <v>411</v>
      </c>
      <c r="D52" s="11" t="s">
        <v>20</v>
      </c>
      <c r="E52" s="11" t="s">
        <v>1886</v>
      </c>
      <c r="F52" s="11" t="s">
        <v>1887</v>
      </c>
      <c r="G52" s="11" t="s">
        <v>1888</v>
      </c>
      <c r="H52" s="11" t="s">
        <v>31</v>
      </c>
      <c r="I52" s="35" t="s">
        <v>1889</v>
      </c>
      <c r="J52" s="41">
        <f>COUNTA('Team Wise'!D141:D143)</f>
        <v>3</v>
      </c>
      <c r="K52" s="44"/>
      <c r="L52" s="44"/>
    </row>
    <row r="53" spans="1:12" ht="37.5" x14ac:dyDescent="0.35">
      <c r="A53" s="22">
        <v>48</v>
      </c>
      <c r="B53" s="22" t="s">
        <v>419</v>
      </c>
      <c r="C53" s="21" t="s">
        <v>420</v>
      </c>
      <c r="D53" s="21" t="s">
        <v>20</v>
      </c>
      <c r="E53" s="21" t="s">
        <v>1890</v>
      </c>
      <c r="F53" s="21" t="s">
        <v>17</v>
      </c>
      <c r="G53" s="21" t="s">
        <v>92</v>
      </c>
      <c r="H53" s="21" t="s">
        <v>55</v>
      </c>
      <c r="I53" s="38" t="s">
        <v>1891</v>
      </c>
      <c r="J53" s="42">
        <f>COUNTA('Team Wise'!D144:D146)</f>
        <v>3</v>
      </c>
      <c r="K53" s="44"/>
      <c r="L53" s="44"/>
    </row>
    <row r="54" spans="1:12" ht="37.5" x14ac:dyDescent="0.35">
      <c r="A54" s="12">
        <v>49</v>
      </c>
      <c r="B54" s="12" t="s">
        <v>427</v>
      </c>
      <c r="C54" s="11" t="s">
        <v>428</v>
      </c>
      <c r="D54" s="11" t="s">
        <v>20</v>
      </c>
      <c r="E54" s="11" t="s">
        <v>1892</v>
      </c>
      <c r="F54" s="11" t="s">
        <v>133</v>
      </c>
      <c r="G54" s="11" t="s">
        <v>92</v>
      </c>
      <c r="H54" s="11" t="s">
        <v>55</v>
      </c>
      <c r="I54" s="35" t="s">
        <v>1893</v>
      </c>
      <c r="J54" s="41">
        <f>COUNTA('Team Wise'!D147:D149)</f>
        <v>3</v>
      </c>
      <c r="K54" s="44"/>
      <c r="L54" s="44"/>
    </row>
    <row r="55" spans="1:12" ht="37.5" x14ac:dyDescent="0.35">
      <c r="A55" s="22">
        <v>50</v>
      </c>
      <c r="B55" s="22" t="s">
        <v>435</v>
      </c>
      <c r="C55" s="21" t="s">
        <v>436</v>
      </c>
      <c r="D55" s="21" t="s">
        <v>20</v>
      </c>
      <c r="E55" s="21" t="s">
        <v>1894</v>
      </c>
      <c r="F55" s="21" t="s">
        <v>438</v>
      </c>
      <c r="G55" s="21" t="s">
        <v>92</v>
      </c>
      <c r="H55" s="21" t="s">
        <v>19</v>
      </c>
      <c r="I55" s="38" t="s">
        <v>1895</v>
      </c>
      <c r="J55" s="42">
        <f>COUNTA('Team Wise'!D150:D152)</f>
        <v>3</v>
      </c>
      <c r="K55" s="44"/>
      <c r="L55" s="44"/>
    </row>
    <row r="56" spans="1:12" ht="37.5" x14ac:dyDescent="0.35">
      <c r="A56" s="12">
        <v>51</v>
      </c>
      <c r="B56" s="12" t="s">
        <v>444</v>
      </c>
      <c r="C56" s="11" t="s">
        <v>445</v>
      </c>
      <c r="D56" s="11" t="s">
        <v>20</v>
      </c>
      <c r="E56" s="11" t="s">
        <v>1896</v>
      </c>
      <c r="F56" s="11" t="s">
        <v>17</v>
      </c>
      <c r="G56" s="11" t="s">
        <v>42</v>
      </c>
      <c r="H56" s="11" t="s">
        <v>31</v>
      </c>
      <c r="I56" s="35" t="s">
        <v>1897</v>
      </c>
      <c r="J56" s="41">
        <f>COUNTA('Team Wise'!D153:D155)</f>
        <v>3</v>
      </c>
      <c r="K56" s="44"/>
      <c r="L56" s="44"/>
    </row>
    <row r="57" spans="1:12" ht="50" x14ac:dyDescent="0.35">
      <c r="A57" s="22">
        <v>52</v>
      </c>
      <c r="B57" s="22" t="s">
        <v>452</v>
      </c>
      <c r="C57" s="21" t="s">
        <v>453</v>
      </c>
      <c r="D57" s="21" t="s">
        <v>20</v>
      </c>
      <c r="E57" s="21" t="s">
        <v>1898</v>
      </c>
      <c r="F57" s="21" t="s">
        <v>17</v>
      </c>
      <c r="G57" s="21" t="s">
        <v>1899</v>
      </c>
      <c r="H57" s="21" t="s">
        <v>31</v>
      </c>
      <c r="I57" s="38" t="s">
        <v>1900</v>
      </c>
      <c r="J57" s="42">
        <f>COUNTA('Team Wise'!D156:D158)</f>
        <v>3</v>
      </c>
      <c r="K57" s="44"/>
      <c r="L57" s="44"/>
    </row>
    <row r="58" spans="1:12" ht="37.5" x14ac:dyDescent="0.35">
      <c r="A58" s="12">
        <v>53</v>
      </c>
      <c r="B58" s="12" t="s">
        <v>460</v>
      </c>
      <c r="C58" s="11" t="s">
        <v>461</v>
      </c>
      <c r="D58" s="11" t="s">
        <v>20</v>
      </c>
      <c r="E58" s="11" t="s">
        <v>1901</v>
      </c>
      <c r="F58" s="11" t="s">
        <v>17</v>
      </c>
      <c r="G58" s="11" t="s">
        <v>18</v>
      </c>
      <c r="H58" s="11" t="s">
        <v>19</v>
      </c>
      <c r="I58" s="35" t="s">
        <v>1902</v>
      </c>
      <c r="J58" s="41">
        <f>COUNTA('Team Wise'!D159:D161)</f>
        <v>3</v>
      </c>
      <c r="K58" s="44"/>
      <c r="L58" s="44"/>
    </row>
    <row r="59" spans="1:12" ht="37.5" x14ac:dyDescent="0.35">
      <c r="A59" s="22">
        <v>54</v>
      </c>
      <c r="B59" s="22" t="s">
        <v>468</v>
      </c>
      <c r="C59" s="21" t="s">
        <v>469</v>
      </c>
      <c r="D59" s="21" t="s">
        <v>20</v>
      </c>
      <c r="E59" s="21" t="s">
        <v>1903</v>
      </c>
      <c r="F59" s="21" t="s">
        <v>17</v>
      </c>
      <c r="G59" s="21" t="s">
        <v>1904</v>
      </c>
      <c r="H59" s="21" t="s">
        <v>55</v>
      </c>
      <c r="I59" s="38" t="s">
        <v>1905</v>
      </c>
      <c r="J59" s="42">
        <f>COUNTA('Team Wise'!D162:D164)</f>
        <v>3</v>
      </c>
      <c r="K59" s="44"/>
      <c r="L59" s="44"/>
    </row>
    <row r="60" spans="1:12" ht="37.5" x14ac:dyDescent="0.35">
      <c r="A60" s="12">
        <v>55</v>
      </c>
      <c r="B60" s="12" t="s">
        <v>476</v>
      </c>
      <c r="C60" s="11" t="s">
        <v>477</v>
      </c>
      <c r="D60" s="11" t="s">
        <v>20</v>
      </c>
      <c r="E60" s="11" t="s">
        <v>1906</v>
      </c>
      <c r="F60" s="11" t="s">
        <v>17</v>
      </c>
      <c r="G60" s="11" t="s">
        <v>92</v>
      </c>
      <c r="H60" s="11" t="s">
        <v>55</v>
      </c>
      <c r="I60" s="35" t="s">
        <v>1907</v>
      </c>
      <c r="J60" s="41">
        <f>COUNTA('Team Wise'!D165:D167)</f>
        <v>3</v>
      </c>
      <c r="K60" s="44"/>
      <c r="L60" s="44"/>
    </row>
    <row r="61" spans="1:12" ht="37.5" x14ac:dyDescent="0.35">
      <c r="A61" s="22">
        <v>56</v>
      </c>
      <c r="B61" s="22" t="s">
        <v>484</v>
      </c>
      <c r="C61" s="21" t="s">
        <v>485</v>
      </c>
      <c r="D61" s="21" t="s">
        <v>20</v>
      </c>
      <c r="E61" s="21" t="s">
        <v>1908</v>
      </c>
      <c r="F61" s="21" t="s">
        <v>284</v>
      </c>
      <c r="G61" s="21" t="s">
        <v>92</v>
      </c>
      <c r="H61" s="21" t="s">
        <v>31</v>
      </c>
      <c r="I61" s="38" t="s">
        <v>1909</v>
      </c>
      <c r="J61" s="42">
        <f>COUNTA('Team Wise'!D168:D170)</f>
        <v>3</v>
      </c>
      <c r="K61" s="44"/>
      <c r="L61" s="44"/>
    </row>
    <row r="62" spans="1:12" ht="87.5" x14ac:dyDescent="0.35">
      <c r="A62" s="12">
        <v>57</v>
      </c>
      <c r="B62" s="12" t="s">
        <v>492</v>
      </c>
      <c r="C62" s="11" t="s">
        <v>493</v>
      </c>
      <c r="D62" s="11" t="s">
        <v>20</v>
      </c>
      <c r="E62" s="11" t="s">
        <v>1910</v>
      </c>
      <c r="F62" s="11" t="s">
        <v>1911</v>
      </c>
      <c r="G62" s="11" t="s">
        <v>42</v>
      </c>
      <c r="H62" s="11" t="s">
        <v>1912</v>
      </c>
      <c r="I62" s="35" t="s">
        <v>1913</v>
      </c>
      <c r="J62" s="41">
        <f>COUNTA('Team Wise'!D171:D173)</f>
        <v>3</v>
      </c>
      <c r="K62" s="44"/>
      <c r="L62" s="44"/>
    </row>
    <row r="63" spans="1:12" ht="37.5" x14ac:dyDescent="0.35">
      <c r="A63" s="22">
        <v>58</v>
      </c>
      <c r="B63" s="22" t="s">
        <v>501</v>
      </c>
      <c r="C63" s="21" t="s">
        <v>502</v>
      </c>
      <c r="D63" s="21" t="s">
        <v>20</v>
      </c>
      <c r="E63" s="21" t="s">
        <v>1914</v>
      </c>
      <c r="F63" s="21" t="s">
        <v>17</v>
      </c>
      <c r="G63" s="21" t="s">
        <v>92</v>
      </c>
      <c r="H63" s="21" t="s">
        <v>55</v>
      </c>
      <c r="I63" s="38" t="s">
        <v>1915</v>
      </c>
      <c r="J63" s="42">
        <f>COUNTA('Team Wise'!D174:D176)</f>
        <v>3</v>
      </c>
      <c r="K63" s="44"/>
      <c r="L63" s="44"/>
    </row>
    <row r="64" spans="1:12" ht="37.5" x14ac:dyDescent="0.35">
      <c r="A64" s="12">
        <v>59</v>
      </c>
      <c r="B64" s="12" t="s">
        <v>509</v>
      </c>
      <c r="C64" s="11" t="s">
        <v>510</v>
      </c>
      <c r="D64" s="11" t="s">
        <v>20</v>
      </c>
      <c r="E64" s="11" t="s">
        <v>1916</v>
      </c>
      <c r="F64" s="11" t="s">
        <v>512</v>
      </c>
      <c r="G64" s="11" t="s">
        <v>1917</v>
      </c>
      <c r="H64" s="11" t="s">
        <v>55</v>
      </c>
      <c r="I64" s="35" t="s">
        <v>1918</v>
      </c>
      <c r="J64" s="41">
        <f>COUNTA('Team Wise'!D177:D179)</f>
        <v>3</v>
      </c>
      <c r="K64" s="44"/>
      <c r="L64" s="44"/>
    </row>
    <row r="65" spans="1:12" ht="50" x14ac:dyDescent="0.35">
      <c r="A65" s="22">
        <v>60</v>
      </c>
      <c r="B65" s="22" t="s">
        <v>518</v>
      </c>
      <c r="C65" s="21" t="s">
        <v>519</v>
      </c>
      <c r="D65" s="21" t="s">
        <v>20</v>
      </c>
      <c r="E65" s="21" t="s">
        <v>1919</v>
      </c>
      <c r="F65" s="21" t="s">
        <v>167</v>
      </c>
      <c r="G65" s="21" t="s">
        <v>92</v>
      </c>
      <c r="H65" s="21" t="s">
        <v>55</v>
      </c>
      <c r="I65" s="38" t="s">
        <v>1920</v>
      </c>
      <c r="J65" s="42">
        <f>COUNTA('Team Wise'!D180:D182)</f>
        <v>3</v>
      </c>
      <c r="K65" s="44"/>
      <c r="L65" s="44"/>
    </row>
    <row r="66" spans="1:12" ht="37.5" x14ac:dyDescent="0.35">
      <c r="A66" s="12">
        <v>61</v>
      </c>
      <c r="B66" s="12" t="s">
        <v>526</v>
      </c>
      <c r="C66" s="11" t="s">
        <v>527</v>
      </c>
      <c r="D66" s="11" t="s">
        <v>20</v>
      </c>
      <c r="E66" s="11" t="s">
        <v>1921</v>
      </c>
      <c r="F66" s="11" t="s">
        <v>167</v>
      </c>
      <c r="G66" s="11" t="s">
        <v>30</v>
      </c>
      <c r="H66" s="11" t="s">
        <v>31</v>
      </c>
      <c r="I66" s="35" t="s">
        <v>1922</v>
      </c>
      <c r="J66" s="41">
        <f>COUNTA('Team Wise'!D183:D185)</f>
        <v>3</v>
      </c>
      <c r="K66" s="44"/>
      <c r="L66" s="44"/>
    </row>
    <row r="67" spans="1:12" ht="37.5" x14ac:dyDescent="0.35">
      <c r="A67" s="22">
        <v>62</v>
      </c>
      <c r="B67" s="22" t="s">
        <v>534</v>
      </c>
      <c r="C67" s="21" t="s">
        <v>535</v>
      </c>
      <c r="D67" s="21" t="s">
        <v>20</v>
      </c>
      <c r="E67" s="21" t="s">
        <v>1923</v>
      </c>
      <c r="F67" s="21" t="s">
        <v>17</v>
      </c>
      <c r="G67" s="21" t="s">
        <v>92</v>
      </c>
      <c r="H67" s="21" t="s">
        <v>31</v>
      </c>
      <c r="I67" s="38" t="s">
        <v>1924</v>
      </c>
      <c r="J67" s="42">
        <f>COUNTA('Team Wise'!D186:D188)</f>
        <v>3</v>
      </c>
      <c r="K67" s="44"/>
      <c r="L67" s="44"/>
    </row>
    <row r="68" spans="1:12" ht="37.5" x14ac:dyDescent="0.35">
      <c r="A68" s="12">
        <v>63</v>
      </c>
      <c r="B68" s="12" t="s">
        <v>542</v>
      </c>
      <c r="C68" s="11" t="s">
        <v>543</v>
      </c>
      <c r="D68" s="11" t="s">
        <v>20</v>
      </c>
      <c r="E68" s="11" t="s">
        <v>1925</v>
      </c>
      <c r="F68" s="11" t="s">
        <v>17</v>
      </c>
      <c r="G68" s="11" t="s">
        <v>42</v>
      </c>
      <c r="H68" s="11" t="s">
        <v>31</v>
      </c>
      <c r="I68" s="35" t="s">
        <v>1926</v>
      </c>
      <c r="J68" s="41">
        <f>COUNTA('Team Wise'!D189:D191)</f>
        <v>3</v>
      </c>
      <c r="K68" s="44"/>
      <c r="L68" s="44"/>
    </row>
    <row r="69" spans="1:12" ht="37.5" x14ac:dyDescent="0.35">
      <c r="A69" s="22">
        <v>64</v>
      </c>
      <c r="B69" s="22" t="s">
        <v>550</v>
      </c>
      <c r="C69" s="21" t="s">
        <v>551</v>
      </c>
      <c r="D69" s="21" t="s">
        <v>20</v>
      </c>
      <c r="E69" s="21" t="s">
        <v>1927</v>
      </c>
      <c r="F69" s="21" t="s">
        <v>553</v>
      </c>
      <c r="G69" s="21" t="s">
        <v>92</v>
      </c>
      <c r="H69" s="21" t="s">
        <v>31</v>
      </c>
      <c r="I69" s="38" t="s">
        <v>1928</v>
      </c>
      <c r="J69" s="42">
        <f>COUNTA('Team Wise'!D192:D194)</f>
        <v>3</v>
      </c>
      <c r="K69" s="44"/>
      <c r="L69" s="44"/>
    </row>
    <row r="70" spans="1:12" ht="37.5" x14ac:dyDescent="0.35">
      <c r="A70" s="12">
        <v>65</v>
      </c>
      <c r="B70" s="12" t="s">
        <v>559</v>
      </c>
      <c r="C70" s="11" t="s">
        <v>560</v>
      </c>
      <c r="D70" s="11" t="s">
        <v>20</v>
      </c>
      <c r="E70" s="11" t="s">
        <v>1929</v>
      </c>
      <c r="F70" s="11" t="s">
        <v>17</v>
      </c>
      <c r="G70" s="11" t="s">
        <v>92</v>
      </c>
      <c r="H70" s="11" t="s">
        <v>31</v>
      </c>
      <c r="I70" s="35" t="s">
        <v>1930</v>
      </c>
      <c r="J70" s="41">
        <f>COUNTA('Team Wise'!D195:D197)</f>
        <v>3</v>
      </c>
      <c r="K70" s="44"/>
      <c r="L70" s="44"/>
    </row>
    <row r="71" spans="1:12" ht="37.5" x14ac:dyDescent="0.35">
      <c r="A71" s="22">
        <v>66</v>
      </c>
      <c r="B71" s="22" t="s">
        <v>567</v>
      </c>
      <c r="C71" s="21" t="s">
        <v>560</v>
      </c>
      <c r="D71" s="21" t="s">
        <v>20</v>
      </c>
      <c r="E71" s="21" t="s">
        <v>1931</v>
      </c>
      <c r="F71" s="21" t="s">
        <v>17</v>
      </c>
      <c r="G71" s="21" t="s">
        <v>42</v>
      </c>
      <c r="H71" s="21" t="s">
        <v>31</v>
      </c>
      <c r="I71" s="38" t="s">
        <v>1932</v>
      </c>
      <c r="J71" s="42">
        <f>COUNTA('Team Wise'!D198:D200)</f>
        <v>3</v>
      </c>
      <c r="K71" s="44"/>
      <c r="L71" s="44"/>
    </row>
    <row r="72" spans="1:12" ht="37.5" x14ac:dyDescent="0.35">
      <c r="A72" s="12">
        <v>67</v>
      </c>
      <c r="B72" s="12" t="s">
        <v>574</v>
      </c>
      <c r="C72" s="11" t="s">
        <v>575</v>
      </c>
      <c r="D72" s="11" t="s">
        <v>20</v>
      </c>
      <c r="E72" s="11" t="s">
        <v>1933</v>
      </c>
      <c r="F72" s="11" t="s">
        <v>577</v>
      </c>
      <c r="G72" s="11" t="s">
        <v>92</v>
      </c>
      <c r="H72" s="11" t="s">
        <v>55</v>
      </c>
      <c r="I72" s="35" t="s">
        <v>1934</v>
      </c>
      <c r="J72" s="41">
        <f>COUNTA('Team Wise'!D201:D203)</f>
        <v>3</v>
      </c>
      <c r="K72" s="44"/>
      <c r="L72" s="44"/>
    </row>
    <row r="73" spans="1:12" ht="37.5" x14ac:dyDescent="0.35">
      <c r="A73" s="22">
        <v>68</v>
      </c>
      <c r="B73" s="22" t="s">
        <v>583</v>
      </c>
      <c r="C73" s="21" t="s">
        <v>584</v>
      </c>
      <c r="D73" s="21" t="s">
        <v>20</v>
      </c>
      <c r="E73" s="21" t="s">
        <v>1935</v>
      </c>
      <c r="F73" s="21" t="s">
        <v>586</v>
      </c>
      <c r="G73" s="21" t="s">
        <v>42</v>
      </c>
      <c r="H73" s="21" t="s">
        <v>55</v>
      </c>
      <c r="I73" s="38" t="s">
        <v>1936</v>
      </c>
      <c r="J73" s="42">
        <f>COUNTA('Team Wise'!D204:D206)</f>
        <v>3</v>
      </c>
      <c r="K73" s="44"/>
      <c r="L73" s="44"/>
    </row>
    <row r="74" spans="1:12" ht="37.5" x14ac:dyDescent="0.35">
      <c r="A74" s="12">
        <v>69</v>
      </c>
      <c r="B74" s="12" t="s">
        <v>592</v>
      </c>
      <c r="C74" s="11" t="s">
        <v>593</v>
      </c>
      <c r="D74" s="11" t="s">
        <v>20</v>
      </c>
      <c r="E74" s="11" t="s">
        <v>1937</v>
      </c>
      <c r="F74" s="11" t="s">
        <v>17</v>
      </c>
      <c r="G74" s="11" t="s">
        <v>18</v>
      </c>
      <c r="H74" s="11" t="s">
        <v>55</v>
      </c>
      <c r="I74" s="35" t="s">
        <v>1938</v>
      </c>
      <c r="J74" s="41">
        <f>COUNTA('Team Wise'!D207:D209)</f>
        <v>3</v>
      </c>
      <c r="K74" s="44"/>
      <c r="L74" s="44"/>
    </row>
    <row r="75" spans="1:12" ht="75" x14ac:dyDescent="0.35">
      <c r="A75" s="22">
        <v>70</v>
      </c>
      <c r="B75" s="22" t="s">
        <v>600</v>
      </c>
      <c r="C75" s="21" t="s">
        <v>601</v>
      </c>
      <c r="D75" s="21" t="s">
        <v>20</v>
      </c>
      <c r="E75" s="21" t="s">
        <v>1939</v>
      </c>
      <c r="F75" s="21" t="s">
        <v>1940</v>
      </c>
      <c r="G75" s="21" t="s">
        <v>1870</v>
      </c>
      <c r="H75" s="21" t="s">
        <v>55</v>
      </c>
      <c r="I75" s="38" t="s">
        <v>1941</v>
      </c>
      <c r="J75" s="42">
        <f>COUNTA('Team Wise'!D210:D212)</f>
        <v>3</v>
      </c>
      <c r="K75" s="44"/>
      <c r="L75" s="44"/>
    </row>
    <row r="76" spans="1:12" ht="75" x14ac:dyDescent="0.35">
      <c r="A76" s="12">
        <v>71</v>
      </c>
      <c r="B76" s="12" t="s">
        <v>610</v>
      </c>
      <c r="C76" s="11" t="s">
        <v>611</v>
      </c>
      <c r="D76" s="11" t="s">
        <v>20</v>
      </c>
      <c r="E76" s="11" t="s">
        <v>1942</v>
      </c>
      <c r="F76" s="11" t="s">
        <v>1943</v>
      </c>
      <c r="G76" s="11" t="s">
        <v>1888</v>
      </c>
      <c r="H76" s="11" t="s">
        <v>55</v>
      </c>
      <c r="I76" s="35" t="s">
        <v>1944</v>
      </c>
      <c r="J76" s="41">
        <f>COUNTA('Team Wise'!D213:D215)</f>
        <v>3</v>
      </c>
      <c r="K76" s="44"/>
      <c r="L76" s="44"/>
    </row>
    <row r="77" spans="1:12" ht="37.5" x14ac:dyDescent="0.35">
      <c r="A77" s="22">
        <v>72</v>
      </c>
      <c r="B77" s="22" t="s">
        <v>619</v>
      </c>
      <c r="C77" s="21" t="s">
        <v>620</v>
      </c>
      <c r="D77" s="21" t="s">
        <v>20</v>
      </c>
      <c r="E77" s="21" t="s">
        <v>1945</v>
      </c>
      <c r="F77" s="21" t="s">
        <v>17</v>
      </c>
      <c r="G77" s="21" t="s">
        <v>42</v>
      </c>
      <c r="H77" s="21" t="s">
        <v>193</v>
      </c>
      <c r="I77" s="38" t="s">
        <v>1946</v>
      </c>
      <c r="J77" s="42">
        <f>COUNTA('Team Wise'!D216:D218)</f>
        <v>3</v>
      </c>
      <c r="K77" s="44"/>
      <c r="L77" s="44"/>
    </row>
    <row r="78" spans="1:12" ht="37.5" x14ac:dyDescent="0.35">
      <c r="A78" s="12">
        <v>73</v>
      </c>
      <c r="B78" s="12" t="s">
        <v>627</v>
      </c>
      <c r="C78" s="11" t="s">
        <v>628</v>
      </c>
      <c r="D78" s="11" t="s">
        <v>20</v>
      </c>
      <c r="E78" s="11" t="s">
        <v>1947</v>
      </c>
      <c r="F78" s="11" t="s">
        <v>553</v>
      </c>
      <c r="G78" s="11" t="s">
        <v>294</v>
      </c>
      <c r="H78" s="11" t="s">
        <v>193</v>
      </c>
      <c r="I78" s="35" t="s">
        <v>1948</v>
      </c>
      <c r="J78" s="41">
        <f>COUNTA('Team Wise'!D219:D221)</f>
        <v>3</v>
      </c>
      <c r="K78" s="44"/>
      <c r="L78" s="44"/>
    </row>
    <row r="79" spans="1:12" ht="37.5" x14ac:dyDescent="0.35">
      <c r="A79" s="22">
        <v>74</v>
      </c>
      <c r="B79" s="22" t="s">
        <v>635</v>
      </c>
      <c r="C79" s="21" t="s">
        <v>636</v>
      </c>
      <c r="D79" s="21" t="s">
        <v>20</v>
      </c>
      <c r="E79" s="21" t="s">
        <v>1949</v>
      </c>
      <c r="F79" s="21" t="s">
        <v>17</v>
      </c>
      <c r="G79" s="21" t="s">
        <v>324</v>
      </c>
      <c r="H79" s="21" t="s">
        <v>55</v>
      </c>
      <c r="I79" s="38" t="s">
        <v>1950</v>
      </c>
      <c r="J79" s="42">
        <f>COUNTA('Team Wise'!D222:D224)</f>
        <v>3</v>
      </c>
      <c r="K79" s="44"/>
      <c r="L79" s="44"/>
    </row>
    <row r="80" spans="1:12" ht="50" x14ac:dyDescent="0.35">
      <c r="A80" s="12">
        <v>75</v>
      </c>
      <c r="B80" s="12" t="s">
        <v>643</v>
      </c>
      <c r="C80" s="11" t="s">
        <v>644</v>
      </c>
      <c r="D80" s="11" t="s">
        <v>20</v>
      </c>
      <c r="E80" s="11" t="s">
        <v>1951</v>
      </c>
      <c r="F80" s="11" t="s">
        <v>17</v>
      </c>
      <c r="G80" s="11" t="s">
        <v>30</v>
      </c>
      <c r="H80" s="11" t="s">
        <v>31</v>
      </c>
      <c r="I80" s="35" t="s">
        <v>1952</v>
      </c>
      <c r="J80" s="41">
        <f>COUNTA('Team Wise'!D225:D227)</f>
        <v>3</v>
      </c>
      <c r="K80" s="44"/>
      <c r="L80" s="44"/>
    </row>
    <row r="81" spans="1:12" ht="50" x14ac:dyDescent="0.35">
      <c r="A81" s="22">
        <v>76</v>
      </c>
      <c r="B81" s="22" t="s">
        <v>651</v>
      </c>
      <c r="C81" s="21" t="s">
        <v>652</v>
      </c>
      <c r="D81" s="21" t="s">
        <v>20</v>
      </c>
      <c r="E81" s="21" t="s">
        <v>1953</v>
      </c>
      <c r="F81" s="21" t="s">
        <v>17</v>
      </c>
      <c r="G81" s="21" t="s">
        <v>42</v>
      </c>
      <c r="H81" s="21" t="s">
        <v>31</v>
      </c>
      <c r="I81" s="38" t="s">
        <v>1954</v>
      </c>
      <c r="J81" s="42">
        <f>COUNTA('Team Wise'!D228:D230)</f>
        <v>3</v>
      </c>
      <c r="K81" s="44"/>
      <c r="L81" s="44"/>
    </row>
    <row r="82" spans="1:12" ht="37.5" x14ac:dyDescent="0.35">
      <c r="A82" s="12">
        <v>77</v>
      </c>
      <c r="B82" s="12" t="s">
        <v>659</v>
      </c>
      <c r="C82" s="11" t="s">
        <v>660</v>
      </c>
      <c r="D82" s="11" t="s">
        <v>20</v>
      </c>
      <c r="E82" s="11" t="s">
        <v>1955</v>
      </c>
      <c r="F82" s="11" t="s">
        <v>17</v>
      </c>
      <c r="G82" s="11" t="s">
        <v>92</v>
      </c>
      <c r="H82" s="11" t="s">
        <v>55</v>
      </c>
      <c r="I82" s="35" t="s">
        <v>1956</v>
      </c>
      <c r="J82" s="41">
        <f>COUNTA('Team Wise'!D231:D233)</f>
        <v>3</v>
      </c>
      <c r="K82" s="44"/>
      <c r="L82" s="44"/>
    </row>
    <row r="83" spans="1:12" ht="37.5" x14ac:dyDescent="0.35">
      <c r="A83" s="22">
        <v>78</v>
      </c>
      <c r="B83" s="22" t="s">
        <v>667</v>
      </c>
      <c r="C83" s="21" t="s">
        <v>668</v>
      </c>
      <c r="D83" s="21" t="s">
        <v>20</v>
      </c>
      <c r="E83" s="21" t="s">
        <v>1957</v>
      </c>
      <c r="F83" s="21" t="s">
        <v>17</v>
      </c>
      <c r="G83" s="21" t="s">
        <v>42</v>
      </c>
      <c r="H83" s="21" t="s">
        <v>31</v>
      </c>
      <c r="I83" s="38" t="s">
        <v>1958</v>
      </c>
      <c r="J83" s="42">
        <f>COUNTA('Team Wise'!D234:D236)</f>
        <v>3</v>
      </c>
      <c r="K83" s="44"/>
      <c r="L83" s="44"/>
    </row>
    <row r="84" spans="1:12" ht="37.5" x14ac:dyDescent="0.35">
      <c r="A84" s="12">
        <v>79</v>
      </c>
      <c r="B84" s="12" t="s">
        <v>675</v>
      </c>
      <c r="C84" s="11" t="s">
        <v>676</v>
      </c>
      <c r="D84" s="11" t="s">
        <v>20</v>
      </c>
      <c r="E84" s="11" t="s">
        <v>1959</v>
      </c>
      <c r="F84" s="11" t="s">
        <v>17</v>
      </c>
      <c r="G84" s="11" t="s">
        <v>30</v>
      </c>
      <c r="H84" s="11" t="s">
        <v>55</v>
      </c>
      <c r="I84" s="35" t="s">
        <v>1960</v>
      </c>
      <c r="J84" s="41">
        <f>COUNTA('Team Wise'!D237:D239)</f>
        <v>3</v>
      </c>
      <c r="K84" s="44"/>
      <c r="L84" s="44"/>
    </row>
    <row r="85" spans="1:12" ht="62.5" x14ac:dyDescent="0.35">
      <c r="A85" s="22">
        <v>80</v>
      </c>
      <c r="B85" s="22" t="s">
        <v>683</v>
      </c>
      <c r="C85" s="21" t="s">
        <v>684</v>
      </c>
      <c r="D85" s="21" t="s">
        <v>20</v>
      </c>
      <c r="E85" s="21" t="s">
        <v>1961</v>
      </c>
      <c r="F85" s="21" t="s">
        <v>1962</v>
      </c>
      <c r="G85" s="21" t="s">
        <v>1963</v>
      </c>
      <c r="H85" s="21" t="s">
        <v>1964</v>
      </c>
      <c r="I85" s="38" t="s">
        <v>1965</v>
      </c>
      <c r="J85" s="42">
        <f>COUNTA('Team Wise'!D240:D242)</f>
        <v>3</v>
      </c>
      <c r="K85" s="44"/>
      <c r="L85" s="44"/>
    </row>
    <row r="86" spans="1:12" ht="37.5" x14ac:dyDescent="0.35">
      <c r="A86" s="12">
        <v>81</v>
      </c>
      <c r="B86" s="12" t="s">
        <v>694</v>
      </c>
      <c r="C86" s="11" t="s">
        <v>695</v>
      </c>
      <c r="D86" s="11" t="s">
        <v>20</v>
      </c>
      <c r="E86" s="11" t="s">
        <v>1966</v>
      </c>
      <c r="F86" s="11" t="s">
        <v>17</v>
      </c>
      <c r="G86" s="11" t="s">
        <v>92</v>
      </c>
      <c r="H86" s="11" t="s">
        <v>55</v>
      </c>
      <c r="I86" s="35" t="s">
        <v>1967</v>
      </c>
      <c r="J86" s="41">
        <f>COUNTA('Team Wise'!D243:D245)</f>
        <v>3</v>
      </c>
      <c r="K86" s="44"/>
      <c r="L86" s="44"/>
    </row>
    <row r="87" spans="1:12" ht="37.5" x14ac:dyDescent="0.35">
      <c r="A87" s="22">
        <v>82</v>
      </c>
      <c r="B87" s="22" t="s">
        <v>702</v>
      </c>
      <c r="C87" s="21" t="s">
        <v>703</v>
      </c>
      <c r="D87" s="21" t="s">
        <v>20</v>
      </c>
      <c r="E87" s="21" t="s">
        <v>1968</v>
      </c>
      <c r="F87" s="21" t="s">
        <v>218</v>
      </c>
      <c r="G87" s="21" t="s">
        <v>42</v>
      </c>
      <c r="H87" s="21" t="s">
        <v>55</v>
      </c>
      <c r="I87" s="38" t="s">
        <v>1969</v>
      </c>
      <c r="J87" s="42">
        <f>COUNTA('Team Wise'!D246:D248)</f>
        <v>3</v>
      </c>
      <c r="K87" s="44"/>
      <c r="L87" s="44"/>
    </row>
    <row r="88" spans="1:12" ht="37.5" x14ac:dyDescent="0.35">
      <c r="A88" s="12">
        <v>83</v>
      </c>
      <c r="B88" s="12" t="s">
        <v>710</v>
      </c>
      <c r="C88" s="11" t="s">
        <v>711</v>
      </c>
      <c r="D88" s="11" t="s">
        <v>20</v>
      </c>
      <c r="E88" s="11" t="s">
        <v>1970</v>
      </c>
      <c r="F88" s="11" t="s">
        <v>192</v>
      </c>
      <c r="G88" s="11" t="s">
        <v>92</v>
      </c>
      <c r="H88" s="11" t="s">
        <v>55</v>
      </c>
      <c r="I88" s="35" t="s">
        <v>1971</v>
      </c>
      <c r="J88" s="41">
        <f>COUNTA('Team Wise'!D249:D251)</f>
        <v>3</v>
      </c>
      <c r="K88" s="44"/>
      <c r="L88" s="44"/>
    </row>
    <row r="89" spans="1:12" ht="37.5" x14ac:dyDescent="0.35">
      <c r="A89" s="22">
        <v>84</v>
      </c>
      <c r="B89" s="22" t="s">
        <v>718</v>
      </c>
      <c r="C89" s="21" t="s">
        <v>719</v>
      </c>
      <c r="D89" s="21" t="s">
        <v>20</v>
      </c>
      <c r="E89" s="21" t="s">
        <v>1972</v>
      </c>
      <c r="F89" s="21" t="s">
        <v>17</v>
      </c>
      <c r="G89" s="21" t="s">
        <v>18</v>
      </c>
      <c r="H89" s="21" t="s">
        <v>55</v>
      </c>
      <c r="I89" s="38" t="s">
        <v>1973</v>
      </c>
      <c r="J89" s="42">
        <f>COUNTA('Team Wise'!D252:D254)</f>
        <v>3</v>
      </c>
      <c r="K89" s="44"/>
      <c r="L89" s="44"/>
    </row>
    <row r="90" spans="1:12" ht="37.5" x14ac:dyDescent="0.35">
      <c r="A90" s="12">
        <v>85</v>
      </c>
      <c r="B90" s="12" t="s">
        <v>726</v>
      </c>
      <c r="C90" s="11" t="s">
        <v>727</v>
      </c>
      <c r="D90" s="11" t="s">
        <v>20</v>
      </c>
      <c r="E90" s="11" t="s">
        <v>1974</v>
      </c>
      <c r="F90" s="11" t="s">
        <v>17</v>
      </c>
      <c r="G90" s="11" t="s">
        <v>18</v>
      </c>
      <c r="H90" s="11" t="s">
        <v>31</v>
      </c>
      <c r="I90" s="35" t="s">
        <v>1975</v>
      </c>
      <c r="J90" s="41">
        <f>COUNTA('Team Wise'!D255:D257)</f>
        <v>3</v>
      </c>
      <c r="K90" s="44"/>
      <c r="L90" s="44"/>
    </row>
    <row r="91" spans="1:12" ht="37.5" x14ac:dyDescent="0.35">
      <c r="A91" s="22">
        <v>86</v>
      </c>
      <c r="B91" s="22" t="s">
        <v>734</v>
      </c>
      <c r="C91" s="21" t="s">
        <v>735</v>
      </c>
      <c r="D91" s="21" t="s">
        <v>20</v>
      </c>
      <c r="E91" s="21" t="s">
        <v>1976</v>
      </c>
      <c r="F91" s="21" t="s">
        <v>167</v>
      </c>
      <c r="G91" s="21" t="s">
        <v>92</v>
      </c>
      <c r="H91" s="21" t="s">
        <v>31</v>
      </c>
      <c r="I91" s="38" t="s">
        <v>1977</v>
      </c>
      <c r="J91" s="42">
        <f>COUNTA('Team Wise'!D258:D260)</f>
        <v>3</v>
      </c>
      <c r="K91" s="44"/>
      <c r="L91" s="44"/>
    </row>
    <row r="92" spans="1:12" ht="37.5" x14ac:dyDescent="0.35">
      <c r="A92" s="12">
        <v>87</v>
      </c>
      <c r="B92" s="12" t="s">
        <v>742</v>
      </c>
      <c r="C92" s="11" t="s">
        <v>743</v>
      </c>
      <c r="D92" s="11" t="s">
        <v>20</v>
      </c>
      <c r="E92" s="11" t="s">
        <v>1978</v>
      </c>
      <c r="F92" s="11" t="s">
        <v>17</v>
      </c>
      <c r="G92" s="11" t="s">
        <v>92</v>
      </c>
      <c r="H92" s="11" t="s">
        <v>31</v>
      </c>
      <c r="I92" s="35" t="s">
        <v>1979</v>
      </c>
      <c r="J92" s="41">
        <f>COUNTA('Team Wise'!D261:D263)</f>
        <v>3</v>
      </c>
      <c r="K92" s="44"/>
      <c r="L92" s="44"/>
    </row>
    <row r="93" spans="1:12" ht="37.5" x14ac:dyDescent="0.35">
      <c r="A93" s="22">
        <v>88</v>
      </c>
      <c r="B93" s="22" t="s">
        <v>750</v>
      </c>
      <c r="C93" s="21" t="s">
        <v>751</v>
      </c>
      <c r="D93" s="21" t="s">
        <v>20</v>
      </c>
      <c r="E93" s="21" t="s">
        <v>1980</v>
      </c>
      <c r="F93" s="21" t="s">
        <v>17</v>
      </c>
      <c r="G93" s="21" t="s">
        <v>42</v>
      </c>
      <c r="H93" s="21" t="s">
        <v>31</v>
      </c>
      <c r="I93" s="38" t="s">
        <v>1981</v>
      </c>
      <c r="J93" s="42">
        <f>COUNTA('Team Wise'!D264:D266)</f>
        <v>3</v>
      </c>
      <c r="K93" s="44"/>
      <c r="L93" s="44"/>
    </row>
    <row r="94" spans="1:12" ht="37.5" x14ac:dyDescent="0.35">
      <c r="A94" s="12">
        <v>89</v>
      </c>
      <c r="B94" s="12" t="s">
        <v>758</v>
      </c>
      <c r="C94" s="11" t="s">
        <v>759</v>
      </c>
      <c r="D94" s="11" t="s">
        <v>20</v>
      </c>
      <c r="E94" s="11" t="s">
        <v>1982</v>
      </c>
      <c r="F94" s="11" t="s">
        <v>1983</v>
      </c>
      <c r="G94" s="11" t="s">
        <v>1984</v>
      </c>
      <c r="H94" s="11" t="s">
        <v>31</v>
      </c>
      <c r="I94" s="35" t="s">
        <v>1985</v>
      </c>
      <c r="J94" s="41">
        <f>COUNTA('Team Wise'!D267:D269)</f>
        <v>3</v>
      </c>
      <c r="K94" s="44"/>
      <c r="L94" s="44"/>
    </row>
    <row r="95" spans="1:12" ht="37.5" x14ac:dyDescent="0.35">
      <c r="A95" s="22">
        <v>90</v>
      </c>
      <c r="B95" s="22" t="s">
        <v>770</v>
      </c>
      <c r="C95" s="21" t="s">
        <v>759</v>
      </c>
      <c r="D95" s="21" t="s">
        <v>20</v>
      </c>
      <c r="E95" s="21" t="s">
        <v>1986</v>
      </c>
      <c r="F95" s="21" t="s">
        <v>17</v>
      </c>
      <c r="G95" s="21" t="s">
        <v>42</v>
      </c>
      <c r="H95" s="21" t="s">
        <v>31</v>
      </c>
      <c r="I95" s="38" t="s">
        <v>1987</v>
      </c>
      <c r="J95" s="42">
        <f>COUNTA('Team Wise'!D270:D272)</f>
        <v>3</v>
      </c>
      <c r="K95" s="44"/>
      <c r="L95" s="44"/>
    </row>
    <row r="96" spans="1:12" ht="37.5" x14ac:dyDescent="0.35">
      <c r="A96" s="12">
        <v>91</v>
      </c>
      <c r="B96" s="12" t="s">
        <v>777</v>
      </c>
      <c r="C96" s="11" t="s">
        <v>759</v>
      </c>
      <c r="D96" s="11" t="s">
        <v>20</v>
      </c>
      <c r="E96" s="11" t="s">
        <v>1988</v>
      </c>
      <c r="F96" s="11" t="s">
        <v>779</v>
      </c>
      <c r="G96" s="11" t="s">
        <v>92</v>
      </c>
      <c r="H96" s="11" t="s">
        <v>55</v>
      </c>
      <c r="I96" s="35" t="s">
        <v>1989</v>
      </c>
      <c r="J96" s="41">
        <f>COUNTA('Team Wise'!D273:D275)</f>
        <v>3</v>
      </c>
      <c r="K96" s="44"/>
      <c r="L96" s="44"/>
    </row>
    <row r="97" spans="1:12" ht="37.5" x14ac:dyDescent="0.35">
      <c r="A97" s="22">
        <v>92</v>
      </c>
      <c r="B97" s="22" t="s">
        <v>785</v>
      </c>
      <c r="C97" s="21" t="s">
        <v>759</v>
      </c>
      <c r="D97" s="21" t="s">
        <v>20</v>
      </c>
      <c r="E97" s="21" t="s">
        <v>1990</v>
      </c>
      <c r="F97" s="21" t="s">
        <v>17</v>
      </c>
      <c r="G97" s="21" t="s">
        <v>18</v>
      </c>
      <c r="H97" s="21" t="s">
        <v>55</v>
      </c>
      <c r="I97" s="38" t="s">
        <v>1991</v>
      </c>
      <c r="J97" s="42">
        <f>COUNTA('Team Wise'!D276:D278)</f>
        <v>3</v>
      </c>
      <c r="K97" s="44"/>
      <c r="L97" s="44"/>
    </row>
    <row r="98" spans="1:12" ht="37.5" x14ac:dyDescent="0.35">
      <c r="A98" s="12">
        <v>93</v>
      </c>
      <c r="B98" s="12" t="s">
        <v>792</v>
      </c>
      <c r="C98" s="11" t="s">
        <v>793</v>
      </c>
      <c r="D98" s="11" t="s">
        <v>20</v>
      </c>
      <c r="E98" s="11" t="s">
        <v>1992</v>
      </c>
      <c r="F98" s="11" t="s">
        <v>17</v>
      </c>
      <c r="G98" s="11" t="s">
        <v>42</v>
      </c>
      <c r="H98" s="11" t="s">
        <v>31</v>
      </c>
      <c r="I98" s="35" t="s">
        <v>1993</v>
      </c>
      <c r="J98" s="41">
        <f>COUNTA('Team Wise'!D279:D281)</f>
        <v>3</v>
      </c>
      <c r="K98" s="44"/>
      <c r="L98" s="44"/>
    </row>
    <row r="99" spans="1:12" ht="50" x14ac:dyDescent="0.35">
      <c r="A99" s="22">
        <v>94</v>
      </c>
      <c r="B99" s="22" t="s">
        <v>800</v>
      </c>
      <c r="C99" s="21" t="s">
        <v>801</v>
      </c>
      <c r="D99" s="21" t="s">
        <v>20</v>
      </c>
      <c r="E99" s="21" t="s">
        <v>1994</v>
      </c>
      <c r="F99" s="21" t="s">
        <v>17</v>
      </c>
      <c r="G99" s="21" t="s">
        <v>30</v>
      </c>
      <c r="H99" s="21" t="s">
        <v>1912</v>
      </c>
      <c r="I99" s="38" t="s">
        <v>1995</v>
      </c>
      <c r="J99" s="42">
        <f>COUNTA('Team Wise'!D282:D284)</f>
        <v>3</v>
      </c>
      <c r="K99" s="44"/>
      <c r="L99" s="44"/>
    </row>
    <row r="100" spans="1:12" ht="37.5" x14ac:dyDescent="0.35">
      <c r="A100" s="12">
        <v>95</v>
      </c>
      <c r="B100" s="12" t="s">
        <v>808</v>
      </c>
      <c r="C100" s="11" t="s">
        <v>801</v>
      </c>
      <c r="D100" s="11" t="s">
        <v>20</v>
      </c>
      <c r="E100" s="11" t="s">
        <v>1996</v>
      </c>
      <c r="F100" s="11" t="s">
        <v>17</v>
      </c>
      <c r="G100" s="11" t="s">
        <v>30</v>
      </c>
      <c r="H100" s="11" t="s">
        <v>31</v>
      </c>
      <c r="I100" s="35" t="s">
        <v>1997</v>
      </c>
      <c r="J100" s="41">
        <f>COUNTA('Team Wise'!D285:D287)</f>
        <v>3</v>
      </c>
      <c r="K100" s="44"/>
      <c r="L100" s="44"/>
    </row>
    <row r="101" spans="1:12" ht="37.5" x14ac:dyDescent="0.35">
      <c r="A101" s="22">
        <v>96</v>
      </c>
      <c r="B101" s="22" t="s">
        <v>815</v>
      </c>
      <c r="C101" s="21" t="s">
        <v>801</v>
      </c>
      <c r="D101" s="21" t="s">
        <v>20</v>
      </c>
      <c r="E101" s="21" t="s">
        <v>1998</v>
      </c>
      <c r="F101" s="21" t="s">
        <v>17</v>
      </c>
      <c r="G101" s="21" t="s">
        <v>92</v>
      </c>
      <c r="H101" s="21" t="s">
        <v>55</v>
      </c>
      <c r="I101" s="38" t="s">
        <v>1999</v>
      </c>
      <c r="J101" s="42">
        <f>COUNTA('Team Wise'!D288:D290)</f>
        <v>3</v>
      </c>
      <c r="K101" s="44"/>
      <c r="L101" s="44"/>
    </row>
    <row r="102" spans="1:12" ht="37.5" x14ac:dyDescent="0.35">
      <c r="A102" s="12">
        <v>97</v>
      </c>
      <c r="B102" s="12" t="s">
        <v>822</v>
      </c>
      <c r="C102" s="11" t="s">
        <v>823</v>
      </c>
      <c r="D102" s="11" t="s">
        <v>20</v>
      </c>
      <c r="E102" s="11" t="s">
        <v>2000</v>
      </c>
      <c r="F102" s="11" t="s">
        <v>17</v>
      </c>
      <c r="G102" s="11" t="s">
        <v>18</v>
      </c>
      <c r="H102" s="11" t="s">
        <v>31</v>
      </c>
      <c r="I102" s="35" t="s">
        <v>2001</v>
      </c>
      <c r="J102" s="41">
        <f>COUNTA('Team Wise'!D291:D293)</f>
        <v>3</v>
      </c>
      <c r="K102" s="44"/>
      <c r="L102" s="44"/>
    </row>
    <row r="103" spans="1:12" ht="50" x14ac:dyDescent="0.35">
      <c r="A103" s="22">
        <v>98</v>
      </c>
      <c r="B103" s="22" t="s">
        <v>830</v>
      </c>
      <c r="C103" s="21" t="s">
        <v>831</v>
      </c>
      <c r="D103" s="21" t="s">
        <v>20</v>
      </c>
      <c r="E103" s="21" t="s">
        <v>2002</v>
      </c>
      <c r="F103" s="21" t="s">
        <v>17</v>
      </c>
      <c r="G103" s="21" t="s">
        <v>1800</v>
      </c>
      <c r="H103" s="21" t="s">
        <v>31</v>
      </c>
      <c r="I103" s="38" t="s">
        <v>2003</v>
      </c>
      <c r="J103" s="42">
        <f>COUNTA('Team Wise'!D294:D296)</f>
        <v>3</v>
      </c>
      <c r="K103" s="44"/>
      <c r="L103" s="44"/>
    </row>
    <row r="104" spans="1:12" ht="62.5" x14ac:dyDescent="0.35">
      <c r="A104" s="12">
        <v>99</v>
      </c>
      <c r="B104" s="12" t="s">
        <v>838</v>
      </c>
      <c r="C104" s="11" t="s">
        <v>839</v>
      </c>
      <c r="D104" s="11" t="s">
        <v>20</v>
      </c>
      <c r="E104" s="11" t="s">
        <v>2004</v>
      </c>
      <c r="F104" s="11" t="s">
        <v>17</v>
      </c>
      <c r="G104" s="11" t="s">
        <v>2005</v>
      </c>
      <c r="H104" s="11" t="s">
        <v>31</v>
      </c>
      <c r="I104" s="35" t="s">
        <v>2006</v>
      </c>
      <c r="J104" s="41">
        <f>COUNTA('Team Wise'!D297:D299)</f>
        <v>3</v>
      </c>
      <c r="K104" s="44"/>
      <c r="L104" s="44"/>
    </row>
    <row r="105" spans="1:12" ht="37.5" x14ac:dyDescent="0.35">
      <c r="A105" s="22">
        <v>100</v>
      </c>
      <c r="B105" s="22" t="s">
        <v>846</v>
      </c>
      <c r="C105" s="21" t="s">
        <v>847</v>
      </c>
      <c r="D105" s="21" t="s">
        <v>20</v>
      </c>
      <c r="E105" s="21" t="s">
        <v>2007</v>
      </c>
      <c r="F105" s="21" t="s">
        <v>17</v>
      </c>
      <c r="G105" s="21" t="s">
        <v>42</v>
      </c>
      <c r="H105" s="21" t="s">
        <v>31</v>
      </c>
      <c r="I105" s="38" t="s">
        <v>2008</v>
      </c>
      <c r="J105" s="42">
        <f>COUNTA('Team Wise'!D300:D302)</f>
        <v>3</v>
      </c>
      <c r="K105" s="44"/>
      <c r="L105" s="44"/>
    </row>
    <row r="106" spans="1:12" ht="37.5" x14ac:dyDescent="0.35">
      <c r="A106" s="12">
        <v>101</v>
      </c>
      <c r="B106" s="12" t="s">
        <v>854</v>
      </c>
      <c r="C106" s="11" t="s">
        <v>855</v>
      </c>
      <c r="D106" s="11" t="s">
        <v>20</v>
      </c>
      <c r="E106" s="11" t="s">
        <v>2009</v>
      </c>
      <c r="F106" s="11" t="s">
        <v>17</v>
      </c>
      <c r="G106" s="11" t="s">
        <v>30</v>
      </c>
      <c r="H106" s="11" t="s">
        <v>55</v>
      </c>
      <c r="I106" s="35" t="s">
        <v>2010</v>
      </c>
      <c r="J106" s="41">
        <f>COUNTA('Team Wise'!D303:D305)</f>
        <v>3</v>
      </c>
      <c r="K106" s="44"/>
      <c r="L106" s="44"/>
    </row>
    <row r="107" spans="1:12" ht="87.5" x14ac:dyDescent="0.35">
      <c r="A107" s="22">
        <v>102</v>
      </c>
      <c r="B107" s="22" t="s">
        <v>862</v>
      </c>
      <c r="C107" s="21" t="s">
        <v>863</v>
      </c>
      <c r="D107" s="21" t="s">
        <v>20</v>
      </c>
      <c r="E107" s="21" t="s">
        <v>2011</v>
      </c>
      <c r="F107" s="21" t="s">
        <v>2012</v>
      </c>
      <c r="G107" s="21" t="s">
        <v>2013</v>
      </c>
      <c r="H107" s="21" t="s">
        <v>55</v>
      </c>
      <c r="I107" s="38" t="s">
        <v>2014</v>
      </c>
      <c r="J107" s="42">
        <f>COUNTA('Team Wise'!D306:D308)</f>
        <v>3</v>
      </c>
      <c r="K107" s="44"/>
      <c r="L107" s="44"/>
    </row>
    <row r="108" spans="1:12" ht="37.5" x14ac:dyDescent="0.35">
      <c r="A108" s="12">
        <v>103</v>
      </c>
      <c r="B108" s="12" t="s">
        <v>870</v>
      </c>
      <c r="C108" s="11" t="s">
        <v>871</v>
      </c>
      <c r="D108" s="11" t="s">
        <v>20</v>
      </c>
      <c r="E108" s="11" t="s">
        <v>2015</v>
      </c>
      <c r="F108" s="11" t="s">
        <v>17</v>
      </c>
      <c r="G108" s="11" t="s">
        <v>30</v>
      </c>
      <c r="H108" s="11" t="s">
        <v>55</v>
      </c>
      <c r="I108" s="35" t="s">
        <v>2016</v>
      </c>
      <c r="J108" s="41">
        <f>COUNTA('Team Wise'!D309:D311)</f>
        <v>3</v>
      </c>
      <c r="K108" s="44"/>
      <c r="L108" s="44"/>
    </row>
    <row r="109" spans="1:12" ht="50" x14ac:dyDescent="0.35">
      <c r="A109" s="22">
        <v>104</v>
      </c>
      <c r="B109" s="22" t="s">
        <v>878</v>
      </c>
      <c r="C109" s="21" t="s">
        <v>879</v>
      </c>
      <c r="D109" s="21" t="s">
        <v>20</v>
      </c>
      <c r="E109" s="21" t="s">
        <v>2017</v>
      </c>
      <c r="F109" s="21" t="s">
        <v>438</v>
      </c>
      <c r="G109" s="21" t="s">
        <v>294</v>
      </c>
      <c r="H109" s="21" t="s">
        <v>55</v>
      </c>
      <c r="I109" s="38" t="s">
        <v>2018</v>
      </c>
      <c r="J109" s="42">
        <f>COUNTA('Team Wise'!D312:D314)</f>
        <v>3</v>
      </c>
      <c r="K109" s="44"/>
      <c r="L109" s="44"/>
    </row>
    <row r="110" spans="1:12" ht="37.5" x14ac:dyDescent="0.35">
      <c r="A110" s="12">
        <v>105</v>
      </c>
      <c r="B110" s="12" t="s">
        <v>886</v>
      </c>
      <c r="C110" s="11" t="s">
        <v>887</v>
      </c>
      <c r="D110" s="11" t="s">
        <v>20</v>
      </c>
      <c r="E110" s="11" t="s">
        <v>2019</v>
      </c>
      <c r="F110" s="11" t="s">
        <v>17</v>
      </c>
      <c r="G110" s="11" t="s">
        <v>92</v>
      </c>
      <c r="H110" s="11" t="s">
        <v>55</v>
      </c>
      <c r="I110" s="35" t="s">
        <v>2020</v>
      </c>
      <c r="J110" s="41">
        <f>COUNTA('Team Wise'!D315:D317)</f>
        <v>3</v>
      </c>
      <c r="K110" s="44"/>
      <c r="L110" s="44"/>
    </row>
    <row r="111" spans="1:12" ht="75" x14ac:dyDescent="0.35">
      <c r="A111" s="22">
        <v>106</v>
      </c>
      <c r="B111" s="22" t="s">
        <v>894</v>
      </c>
      <c r="C111" s="21" t="s">
        <v>895</v>
      </c>
      <c r="D111" s="21" t="s">
        <v>20</v>
      </c>
      <c r="E111" s="21" t="s">
        <v>2021</v>
      </c>
      <c r="F111" s="21" t="s">
        <v>2022</v>
      </c>
      <c r="G111" s="21" t="s">
        <v>92</v>
      </c>
      <c r="H111" s="21" t="s">
        <v>2023</v>
      </c>
      <c r="I111" s="38" t="s">
        <v>2024</v>
      </c>
      <c r="J111" s="42">
        <f>COUNTA('Team Wise'!D318:D320)</f>
        <v>3</v>
      </c>
      <c r="K111" s="44"/>
      <c r="L111" s="44"/>
    </row>
    <row r="112" spans="1:12" ht="62.5" x14ac:dyDescent="0.35">
      <c r="A112" s="12">
        <v>107</v>
      </c>
      <c r="B112" s="12" t="s">
        <v>903</v>
      </c>
      <c r="C112" s="11" t="s">
        <v>904</v>
      </c>
      <c r="D112" s="11" t="s">
        <v>20</v>
      </c>
      <c r="E112" s="11" t="s">
        <v>2025</v>
      </c>
      <c r="F112" s="11" t="s">
        <v>17</v>
      </c>
      <c r="G112" s="11" t="s">
        <v>2026</v>
      </c>
      <c r="H112" s="11" t="s">
        <v>1790</v>
      </c>
      <c r="I112" s="35" t="s">
        <v>2027</v>
      </c>
      <c r="J112" s="41">
        <f>COUNTA('Team Wise'!D321:D323)</f>
        <v>3</v>
      </c>
      <c r="K112" s="44"/>
      <c r="L112" s="44"/>
    </row>
    <row r="113" spans="1:12" ht="37.5" x14ac:dyDescent="0.35">
      <c r="A113" s="22">
        <v>108</v>
      </c>
      <c r="B113" s="22" t="s">
        <v>911</v>
      </c>
      <c r="C113" s="21" t="s">
        <v>912</v>
      </c>
      <c r="D113" s="21" t="s">
        <v>20</v>
      </c>
      <c r="E113" s="21" t="s">
        <v>2028</v>
      </c>
      <c r="F113" s="21" t="s">
        <v>914</v>
      </c>
      <c r="G113" s="21" t="s">
        <v>2029</v>
      </c>
      <c r="H113" s="21" t="s">
        <v>19</v>
      </c>
      <c r="I113" s="38" t="s">
        <v>2030</v>
      </c>
      <c r="J113" s="42">
        <f>COUNTA('Team Wise'!D324:D326)</f>
        <v>3</v>
      </c>
      <c r="K113" s="44"/>
      <c r="L113" s="44"/>
    </row>
    <row r="114" spans="1:12" ht="37.5" x14ac:dyDescent="0.35">
      <c r="A114" s="12">
        <v>109</v>
      </c>
      <c r="B114" s="12" t="s">
        <v>920</v>
      </c>
      <c r="C114" s="11" t="s">
        <v>921</v>
      </c>
      <c r="D114" s="11" t="s">
        <v>20</v>
      </c>
      <c r="E114" s="11" t="s">
        <v>2031</v>
      </c>
      <c r="F114" s="11" t="s">
        <v>17</v>
      </c>
      <c r="G114" s="11" t="s">
        <v>92</v>
      </c>
      <c r="H114" s="11" t="s">
        <v>55</v>
      </c>
      <c r="I114" s="35" t="s">
        <v>2032</v>
      </c>
      <c r="J114" s="41">
        <f>COUNTA('Team Wise'!D327:D329)</f>
        <v>3</v>
      </c>
      <c r="K114" s="44"/>
      <c r="L114" s="44"/>
    </row>
    <row r="115" spans="1:12" ht="37.5" x14ac:dyDescent="0.35">
      <c r="A115" s="22">
        <v>110</v>
      </c>
      <c r="B115" s="22" t="s">
        <v>928</v>
      </c>
      <c r="C115" s="21" t="s">
        <v>929</v>
      </c>
      <c r="D115" s="21" t="s">
        <v>20</v>
      </c>
      <c r="E115" s="21" t="s">
        <v>2033</v>
      </c>
      <c r="F115" s="21" t="s">
        <v>17</v>
      </c>
      <c r="G115" s="21" t="s">
        <v>42</v>
      </c>
      <c r="H115" s="21" t="s">
        <v>31</v>
      </c>
      <c r="I115" s="38" t="s">
        <v>2034</v>
      </c>
      <c r="J115" s="42">
        <f>COUNTA('Team Wise'!D330:D332)</f>
        <v>3</v>
      </c>
      <c r="K115" s="44"/>
      <c r="L115" s="44"/>
    </row>
    <row r="116" spans="1:12" ht="37.5" x14ac:dyDescent="0.35">
      <c r="A116" s="12">
        <v>111</v>
      </c>
      <c r="B116" s="12" t="s">
        <v>936</v>
      </c>
      <c r="C116" s="11" t="s">
        <v>937</v>
      </c>
      <c r="D116" s="11" t="s">
        <v>20</v>
      </c>
      <c r="E116" s="11" t="s">
        <v>2035</v>
      </c>
      <c r="F116" s="11" t="s">
        <v>133</v>
      </c>
      <c r="G116" s="11" t="s">
        <v>92</v>
      </c>
      <c r="H116" s="11" t="s">
        <v>55</v>
      </c>
      <c r="I116" s="35" t="s">
        <v>2036</v>
      </c>
      <c r="J116" s="41">
        <f>COUNTA('Team Wise'!D333:D335)</f>
        <v>3</v>
      </c>
      <c r="K116" s="44"/>
      <c r="L116" s="44"/>
    </row>
    <row r="117" spans="1:12" ht="62.5" x14ac:dyDescent="0.35">
      <c r="A117" s="22">
        <v>112</v>
      </c>
      <c r="B117" s="22" t="s">
        <v>944</v>
      </c>
      <c r="C117" s="21" t="s">
        <v>945</v>
      </c>
      <c r="D117" s="21" t="s">
        <v>20</v>
      </c>
      <c r="E117" s="21" t="s">
        <v>2037</v>
      </c>
      <c r="F117" s="21" t="s">
        <v>218</v>
      </c>
      <c r="G117" s="21" t="s">
        <v>2038</v>
      </c>
      <c r="H117" s="21" t="s">
        <v>55</v>
      </c>
      <c r="I117" s="38" t="s">
        <v>2039</v>
      </c>
      <c r="J117" s="42">
        <f>COUNTA('Team Wise'!D336:D338)</f>
        <v>3</v>
      </c>
      <c r="K117" s="44"/>
      <c r="L117" s="44"/>
    </row>
    <row r="118" spans="1:12" ht="62.5" x14ac:dyDescent="0.35">
      <c r="A118" s="12">
        <v>113</v>
      </c>
      <c r="B118" s="12" t="s">
        <v>952</v>
      </c>
      <c r="C118" s="11" t="s">
        <v>953</v>
      </c>
      <c r="D118" s="11" t="s">
        <v>20</v>
      </c>
      <c r="E118" s="11" t="s">
        <v>2040</v>
      </c>
      <c r="F118" s="11" t="s">
        <v>2041</v>
      </c>
      <c r="G118" s="11" t="s">
        <v>92</v>
      </c>
      <c r="H118" s="11" t="s">
        <v>31</v>
      </c>
      <c r="I118" s="35" t="s">
        <v>2042</v>
      </c>
      <c r="J118" s="41">
        <f>COUNTA('Team Wise'!D339:D341)</f>
        <v>3</v>
      </c>
      <c r="K118" s="44"/>
      <c r="L118" s="44"/>
    </row>
    <row r="119" spans="1:12" ht="50" x14ac:dyDescent="0.35">
      <c r="A119" s="22">
        <v>114</v>
      </c>
      <c r="B119" s="22" t="s">
        <v>961</v>
      </c>
      <c r="C119" s="21" t="s">
        <v>962</v>
      </c>
      <c r="D119" s="21" t="s">
        <v>20</v>
      </c>
      <c r="E119" s="21" t="s">
        <v>2043</v>
      </c>
      <c r="F119" s="21" t="s">
        <v>17</v>
      </c>
      <c r="G119" s="21" t="s">
        <v>1789</v>
      </c>
      <c r="H119" s="21" t="s">
        <v>55</v>
      </c>
      <c r="I119" s="38" t="s">
        <v>2044</v>
      </c>
      <c r="J119" s="42">
        <f>COUNTA('Team Wise'!D342:D344)</f>
        <v>3</v>
      </c>
      <c r="K119" s="44"/>
      <c r="L119" s="44"/>
    </row>
    <row r="120" spans="1:12" ht="37.5" x14ac:dyDescent="0.35">
      <c r="A120" s="12">
        <v>115</v>
      </c>
      <c r="B120" s="12" t="s">
        <v>969</v>
      </c>
      <c r="C120" s="11" t="s">
        <v>970</v>
      </c>
      <c r="D120" s="11" t="s">
        <v>20</v>
      </c>
      <c r="E120" s="11" t="s">
        <v>2045</v>
      </c>
      <c r="F120" s="11" t="s">
        <v>234</v>
      </c>
      <c r="G120" s="11" t="s">
        <v>294</v>
      </c>
      <c r="H120" s="11" t="s">
        <v>55</v>
      </c>
      <c r="I120" s="35" t="s">
        <v>2046</v>
      </c>
      <c r="J120" s="41">
        <f>COUNTA('Team Wise'!D345:D347)</f>
        <v>3</v>
      </c>
      <c r="K120" s="44"/>
      <c r="L120" s="44"/>
    </row>
    <row r="121" spans="1:12" ht="50" x14ac:dyDescent="0.35">
      <c r="A121" s="22">
        <v>116</v>
      </c>
      <c r="B121" s="22" t="s">
        <v>977</v>
      </c>
      <c r="C121" s="21" t="s">
        <v>978</v>
      </c>
      <c r="D121" s="21" t="s">
        <v>20</v>
      </c>
      <c r="E121" s="21" t="s">
        <v>2047</v>
      </c>
      <c r="F121" s="21" t="s">
        <v>2048</v>
      </c>
      <c r="G121" s="21" t="s">
        <v>1800</v>
      </c>
      <c r="H121" s="21" t="s">
        <v>55</v>
      </c>
      <c r="I121" s="38" t="s">
        <v>2049</v>
      </c>
      <c r="J121" s="42">
        <f>COUNTA('Team Wise'!D348:D350)</f>
        <v>3</v>
      </c>
      <c r="K121" s="44"/>
      <c r="L121" s="44"/>
    </row>
    <row r="122" spans="1:12" ht="37.5" x14ac:dyDescent="0.35">
      <c r="A122" s="12">
        <v>117</v>
      </c>
      <c r="B122" s="12" t="s">
        <v>986</v>
      </c>
      <c r="C122" s="11" t="s">
        <v>987</v>
      </c>
      <c r="D122" s="11" t="s">
        <v>20</v>
      </c>
      <c r="E122" s="11" t="s">
        <v>2050</v>
      </c>
      <c r="F122" s="11" t="s">
        <v>293</v>
      </c>
      <c r="G122" s="11" t="s">
        <v>42</v>
      </c>
      <c r="H122" s="11" t="s">
        <v>31</v>
      </c>
      <c r="I122" s="35" t="s">
        <v>2051</v>
      </c>
      <c r="J122" s="41">
        <f>COUNTA('Team Wise'!D351:D353)</f>
        <v>3</v>
      </c>
      <c r="K122" s="44"/>
      <c r="L122" s="44"/>
    </row>
    <row r="123" spans="1:12" ht="37.5" x14ac:dyDescent="0.35">
      <c r="A123" s="22">
        <v>118</v>
      </c>
      <c r="B123" s="22" t="s">
        <v>994</v>
      </c>
      <c r="C123" s="21" t="s">
        <v>995</v>
      </c>
      <c r="D123" s="21" t="s">
        <v>20</v>
      </c>
      <c r="E123" s="21" t="s">
        <v>2052</v>
      </c>
      <c r="F123" s="21" t="s">
        <v>17</v>
      </c>
      <c r="G123" s="21" t="s">
        <v>92</v>
      </c>
      <c r="H123" s="21" t="s">
        <v>31</v>
      </c>
      <c r="I123" s="38" t="s">
        <v>2053</v>
      </c>
      <c r="J123" s="42">
        <f>COUNTA('Team Wise'!D354:D356)</f>
        <v>3</v>
      </c>
      <c r="K123" s="44"/>
      <c r="L123" s="44"/>
    </row>
    <row r="124" spans="1:12" ht="37.5" x14ac:dyDescent="0.35">
      <c r="A124" s="12">
        <v>119</v>
      </c>
      <c r="B124" s="12" t="s">
        <v>1002</v>
      </c>
      <c r="C124" s="11" t="s">
        <v>1003</v>
      </c>
      <c r="D124" s="11" t="s">
        <v>20</v>
      </c>
      <c r="E124" s="11" t="s">
        <v>2054</v>
      </c>
      <c r="F124" s="11" t="s">
        <v>17</v>
      </c>
      <c r="G124" s="11" t="s">
        <v>42</v>
      </c>
      <c r="H124" s="11" t="s">
        <v>31</v>
      </c>
      <c r="I124" s="35" t="s">
        <v>2055</v>
      </c>
      <c r="J124" s="41">
        <f>COUNTA('Team Wise'!D357:D359)</f>
        <v>3</v>
      </c>
      <c r="K124" s="44"/>
      <c r="L124" s="44"/>
    </row>
    <row r="125" spans="1:12" ht="37.5" x14ac:dyDescent="0.35">
      <c r="A125" s="22">
        <v>120</v>
      </c>
      <c r="B125" s="22" t="s">
        <v>1010</v>
      </c>
      <c r="C125" s="21" t="s">
        <v>1011</v>
      </c>
      <c r="D125" s="21" t="s">
        <v>20</v>
      </c>
      <c r="E125" s="21" t="s">
        <v>2056</v>
      </c>
      <c r="F125" s="21" t="s">
        <v>17</v>
      </c>
      <c r="G125" s="21" t="s">
        <v>300</v>
      </c>
      <c r="H125" s="21" t="s">
        <v>19</v>
      </c>
      <c r="I125" s="38" t="s">
        <v>2057</v>
      </c>
      <c r="J125" s="42">
        <f>COUNTA('Team Wise'!D360:D362)</f>
        <v>3</v>
      </c>
      <c r="K125" s="44"/>
      <c r="L125" s="44"/>
    </row>
    <row r="126" spans="1:12" ht="37.5" x14ac:dyDescent="0.35">
      <c r="A126" s="12">
        <v>121</v>
      </c>
      <c r="B126" s="12" t="s">
        <v>1018</v>
      </c>
      <c r="C126" s="11" t="s">
        <v>1019</v>
      </c>
      <c r="D126" s="11" t="s">
        <v>20</v>
      </c>
      <c r="E126" s="11" t="s">
        <v>2058</v>
      </c>
      <c r="F126" s="11" t="s">
        <v>17</v>
      </c>
      <c r="G126" s="11" t="s">
        <v>92</v>
      </c>
      <c r="H126" s="11" t="s">
        <v>55</v>
      </c>
      <c r="I126" s="35" t="s">
        <v>2059</v>
      </c>
      <c r="J126" s="41">
        <f>COUNTA('Team Wise'!D363:D365)</f>
        <v>3</v>
      </c>
      <c r="K126" s="44"/>
      <c r="L126" s="44"/>
    </row>
    <row r="127" spans="1:12" ht="37.5" x14ac:dyDescent="0.35">
      <c r="A127" s="22">
        <v>122</v>
      </c>
      <c r="B127" s="22" t="s">
        <v>1026</v>
      </c>
      <c r="C127" s="21" t="s">
        <v>1027</v>
      </c>
      <c r="D127" s="21" t="s">
        <v>20</v>
      </c>
      <c r="E127" s="21" t="s">
        <v>2060</v>
      </c>
      <c r="F127" s="21" t="s">
        <v>17</v>
      </c>
      <c r="G127" s="21" t="s">
        <v>42</v>
      </c>
      <c r="H127" s="21" t="s">
        <v>31</v>
      </c>
      <c r="I127" s="38" t="s">
        <v>2061</v>
      </c>
      <c r="J127" s="42">
        <f>COUNTA('Team Wise'!D366:D368)</f>
        <v>3</v>
      </c>
      <c r="K127" s="44"/>
      <c r="L127" s="44"/>
    </row>
    <row r="128" spans="1:12" ht="75" x14ac:dyDescent="0.35">
      <c r="A128" s="12">
        <v>123</v>
      </c>
      <c r="B128" s="12" t="s">
        <v>1034</v>
      </c>
      <c r="C128" s="11" t="s">
        <v>1035</v>
      </c>
      <c r="D128" s="11" t="s">
        <v>20</v>
      </c>
      <c r="E128" s="11" t="s">
        <v>2062</v>
      </c>
      <c r="F128" s="11" t="s">
        <v>2063</v>
      </c>
      <c r="G128" s="11" t="s">
        <v>2064</v>
      </c>
      <c r="H128" s="11" t="s">
        <v>31</v>
      </c>
      <c r="I128" s="35" t="s">
        <v>2065</v>
      </c>
      <c r="J128" s="41">
        <f>COUNTA('Team Wise'!D369:D371)</f>
        <v>3</v>
      </c>
      <c r="K128" s="44"/>
      <c r="L128" s="44"/>
    </row>
    <row r="129" spans="1:12" ht="37.5" x14ac:dyDescent="0.35">
      <c r="A129" s="22">
        <v>124</v>
      </c>
      <c r="B129" s="22" t="s">
        <v>1043</v>
      </c>
      <c r="C129" s="21" t="s">
        <v>1044</v>
      </c>
      <c r="D129" s="21" t="s">
        <v>20</v>
      </c>
      <c r="E129" s="21" t="s">
        <v>2066</v>
      </c>
      <c r="F129" s="21" t="s">
        <v>17</v>
      </c>
      <c r="G129" s="21" t="s">
        <v>42</v>
      </c>
      <c r="H129" s="21" t="s">
        <v>31</v>
      </c>
      <c r="I129" s="38" t="s">
        <v>2067</v>
      </c>
      <c r="J129" s="42">
        <f>COUNTA('Team Wise'!D372:D374)</f>
        <v>3</v>
      </c>
      <c r="K129" s="44"/>
      <c r="L129" s="44"/>
    </row>
    <row r="130" spans="1:12" ht="37.5" x14ac:dyDescent="0.35">
      <c r="A130" s="12">
        <v>125</v>
      </c>
      <c r="B130" s="12" t="s">
        <v>1051</v>
      </c>
      <c r="C130" s="11" t="s">
        <v>1052</v>
      </c>
      <c r="D130" s="11" t="s">
        <v>20</v>
      </c>
      <c r="E130" s="11" t="s">
        <v>2068</v>
      </c>
      <c r="F130" s="11" t="s">
        <v>17</v>
      </c>
      <c r="G130" s="11" t="s">
        <v>92</v>
      </c>
      <c r="H130" s="11" t="s">
        <v>55</v>
      </c>
      <c r="I130" s="35" t="s">
        <v>2069</v>
      </c>
      <c r="J130" s="41">
        <f>COUNTA('Team Wise'!D375:D377)</f>
        <v>3</v>
      </c>
      <c r="K130" s="44"/>
      <c r="L130" s="44"/>
    </row>
    <row r="131" spans="1:12" ht="37.5" x14ac:dyDescent="0.35">
      <c r="A131" s="22">
        <v>126</v>
      </c>
      <c r="B131" s="22" t="s">
        <v>1059</v>
      </c>
      <c r="C131" s="21" t="s">
        <v>1060</v>
      </c>
      <c r="D131" s="21" t="s">
        <v>20</v>
      </c>
      <c r="E131" s="21" t="s">
        <v>2070</v>
      </c>
      <c r="F131" s="21" t="s">
        <v>17</v>
      </c>
      <c r="G131" s="21" t="s">
        <v>18</v>
      </c>
      <c r="H131" s="21" t="s">
        <v>19</v>
      </c>
      <c r="I131" s="38" t="s">
        <v>2071</v>
      </c>
      <c r="J131" s="42">
        <f>COUNTA('Team Wise'!D378:D380)</f>
        <v>3</v>
      </c>
      <c r="K131" s="44"/>
      <c r="L131" s="44"/>
    </row>
    <row r="132" spans="1:12" ht="37.5" x14ac:dyDescent="0.35">
      <c r="A132" s="12">
        <v>127</v>
      </c>
      <c r="B132" s="12" t="s">
        <v>1067</v>
      </c>
      <c r="C132" s="11" t="s">
        <v>1068</v>
      </c>
      <c r="D132" s="11" t="s">
        <v>20</v>
      </c>
      <c r="E132" s="11" t="s">
        <v>2072</v>
      </c>
      <c r="F132" s="11" t="s">
        <v>438</v>
      </c>
      <c r="G132" s="11" t="s">
        <v>92</v>
      </c>
      <c r="H132" s="11" t="s">
        <v>55</v>
      </c>
      <c r="I132" s="35" t="s">
        <v>2073</v>
      </c>
      <c r="J132" s="41">
        <f>COUNTA('Team Wise'!D381:D383)</f>
        <v>3</v>
      </c>
      <c r="K132" s="44"/>
      <c r="L132" s="44"/>
    </row>
    <row r="133" spans="1:12" ht="37.5" x14ac:dyDescent="0.35">
      <c r="A133" s="22">
        <v>128</v>
      </c>
      <c r="B133" s="22" t="s">
        <v>1075</v>
      </c>
      <c r="C133" s="21" t="s">
        <v>1076</v>
      </c>
      <c r="D133" s="21" t="s">
        <v>20</v>
      </c>
      <c r="E133" s="21" t="s">
        <v>2074</v>
      </c>
      <c r="F133" s="21" t="s">
        <v>167</v>
      </c>
      <c r="G133" s="21" t="s">
        <v>30</v>
      </c>
      <c r="H133" s="21" t="s">
        <v>31</v>
      </c>
      <c r="I133" s="38" t="s">
        <v>2075</v>
      </c>
      <c r="J133" s="42">
        <f>COUNTA('Team Wise'!D384:D386)</f>
        <v>3</v>
      </c>
      <c r="K133" s="44"/>
      <c r="L133" s="44"/>
    </row>
    <row r="134" spans="1:12" ht="37.5" x14ac:dyDescent="0.35">
      <c r="A134" s="12">
        <v>129</v>
      </c>
      <c r="B134" s="12" t="s">
        <v>1083</v>
      </c>
      <c r="C134" s="11" t="s">
        <v>1084</v>
      </c>
      <c r="D134" s="11" t="s">
        <v>20</v>
      </c>
      <c r="E134" s="11" t="s">
        <v>2076</v>
      </c>
      <c r="F134" s="11" t="s">
        <v>17</v>
      </c>
      <c r="G134" s="11" t="s">
        <v>2077</v>
      </c>
      <c r="H134" s="11" t="s">
        <v>55</v>
      </c>
      <c r="I134" s="35" t="s">
        <v>2078</v>
      </c>
      <c r="J134" s="41">
        <f>COUNTA('Team Wise'!D387:D389)</f>
        <v>3</v>
      </c>
      <c r="K134" s="44"/>
      <c r="L134" s="44"/>
    </row>
    <row r="135" spans="1:12" ht="75" x14ac:dyDescent="0.35">
      <c r="A135" s="22">
        <v>130</v>
      </c>
      <c r="B135" s="22" t="s">
        <v>1091</v>
      </c>
      <c r="C135" s="21" t="s">
        <v>1092</v>
      </c>
      <c r="D135" s="21" t="s">
        <v>20</v>
      </c>
      <c r="E135" s="21" t="s">
        <v>2079</v>
      </c>
      <c r="F135" s="21" t="s">
        <v>2080</v>
      </c>
      <c r="G135" s="21" t="s">
        <v>2081</v>
      </c>
      <c r="H135" s="21" t="s">
        <v>1851</v>
      </c>
      <c r="I135" s="38" t="s">
        <v>2082</v>
      </c>
      <c r="J135" s="42">
        <f>COUNTA('Team Wise'!D390:D392)</f>
        <v>3</v>
      </c>
      <c r="K135" s="44"/>
      <c r="L135" s="44"/>
    </row>
    <row r="136" spans="1:12" ht="37.5" x14ac:dyDescent="0.35">
      <c r="A136" s="12">
        <v>131</v>
      </c>
      <c r="B136" s="12" t="s">
        <v>1100</v>
      </c>
      <c r="C136" s="11" t="s">
        <v>1101</v>
      </c>
      <c r="D136" s="11" t="s">
        <v>20</v>
      </c>
      <c r="E136" s="11" t="s">
        <v>2083</v>
      </c>
      <c r="F136" s="11" t="s">
        <v>17</v>
      </c>
      <c r="G136" s="11" t="s">
        <v>30</v>
      </c>
      <c r="H136" s="11" t="s">
        <v>2084</v>
      </c>
      <c r="I136" s="35" t="s">
        <v>2085</v>
      </c>
      <c r="J136" s="41">
        <f>COUNTA('Team Wise'!D393:D395)</f>
        <v>3</v>
      </c>
      <c r="K136" s="44"/>
      <c r="L136" s="44"/>
    </row>
    <row r="137" spans="1:12" ht="37.5" x14ac:dyDescent="0.35">
      <c r="A137" s="22">
        <v>132</v>
      </c>
      <c r="B137" s="22" t="s">
        <v>1108</v>
      </c>
      <c r="C137" s="21" t="s">
        <v>1109</v>
      </c>
      <c r="D137" s="21" t="s">
        <v>20</v>
      </c>
      <c r="E137" s="21" t="s">
        <v>2086</v>
      </c>
      <c r="F137" s="21" t="s">
        <v>17</v>
      </c>
      <c r="G137" s="21" t="s">
        <v>324</v>
      </c>
      <c r="H137" s="21" t="s">
        <v>31</v>
      </c>
      <c r="I137" s="38" t="s">
        <v>2087</v>
      </c>
      <c r="J137" s="42">
        <f>COUNTA('Team Wise'!D396:D398)</f>
        <v>3</v>
      </c>
      <c r="K137" s="44"/>
      <c r="L137" s="44"/>
    </row>
    <row r="138" spans="1:12" ht="50" x14ac:dyDescent="0.35">
      <c r="A138" s="12">
        <v>133</v>
      </c>
      <c r="B138" s="12" t="s">
        <v>1116</v>
      </c>
      <c r="C138" s="11" t="s">
        <v>1117</v>
      </c>
      <c r="D138" s="11" t="s">
        <v>20</v>
      </c>
      <c r="E138" s="11" t="s">
        <v>2088</v>
      </c>
      <c r="F138" s="11" t="s">
        <v>17</v>
      </c>
      <c r="G138" s="11" t="s">
        <v>1899</v>
      </c>
      <c r="H138" s="11" t="s">
        <v>55</v>
      </c>
      <c r="I138" s="35" t="s">
        <v>2089</v>
      </c>
      <c r="J138" s="41">
        <f>COUNTA('Team Wise'!D399:D401)</f>
        <v>3</v>
      </c>
      <c r="K138" s="44"/>
      <c r="L138" s="44"/>
    </row>
    <row r="139" spans="1:12" ht="50" x14ac:dyDescent="0.35">
      <c r="A139" s="22">
        <v>134</v>
      </c>
      <c r="B139" s="22" t="s">
        <v>1124</v>
      </c>
      <c r="C139" s="21" t="s">
        <v>1125</v>
      </c>
      <c r="D139" s="21" t="s">
        <v>20</v>
      </c>
      <c r="E139" s="21" t="s">
        <v>2090</v>
      </c>
      <c r="F139" s="21" t="s">
        <v>897</v>
      </c>
      <c r="G139" s="21" t="s">
        <v>92</v>
      </c>
      <c r="H139" s="21" t="s">
        <v>19</v>
      </c>
      <c r="I139" s="38" t="s">
        <v>2091</v>
      </c>
      <c r="J139" s="42">
        <f>COUNTA('Team Wise'!D402:D404)</f>
        <v>3</v>
      </c>
      <c r="K139" s="44"/>
      <c r="L139" s="44"/>
    </row>
    <row r="140" spans="1:12" ht="37.5" x14ac:dyDescent="0.35">
      <c r="A140" s="12">
        <v>135</v>
      </c>
      <c r="B140" s="12" t="s">
        <v>1132</v>
      </c>
      <c r="C140" s="11" t="s">
        <v>1133</v>
      </c>
      <c r="D140" s="11" t="s">
        <v>20</v>
      </c>
      <c r="E140" s="11" t="s">
        <v>2092</v>
      </c>
      <c r="F140" s="11" t="s">
        <v>17</v>
      </c>
      <c r="G140" s="11" t="s">
        <v>92</v>
      </c>
      <c r="H140" s="11" t="s">
        <v>31</v>
      </c>
      <c r="I140" s="35" t="s">
        <v>2093</v>
      </c>
      <c r="J140" s="41">
        <f>COUNTA('Team Wise'!D405:D407)</f>
        <v>3</v>
      </c>
      <c r="K140" s="44"/>
      <c r="L140" s="44"/>
    </row>
    <row r="141" spans="1:12" ht="62.5" x14ac:dyDescent="0.35">
      <c r="A141" s="22">
        <v>136</v>
      </c>
      <c r="B141" s="22" t="s">
        <v>1140</v>
      </c>
      <c r="C141" s="21" t="s">
        <v>1141</v>
      </c>
      <c r="D141" s="21" t="s">
        <v>20</v>
      </c>
      <c r="E141" s="21" t="s">
        <v>2094</v>
      </c>
      <c r="F141" s="21" t="s">
        <v>17</v>
      </c>
      <c r="G141" s="21" t="s">
        <v>2095</v>
      </c>
      <c r="H141" s="21" t="s">
        <v>31</v>
      </c>
      <c r="I141" s="38" t="s">
        <v>2096</v>
      </c>
      <c r="J141" s="42">
        <f>COUNTA('Team Wise'!D408:D410)</f>
        <v>3</v>
      </c>
      <c r="K141" s="44"/>
      <c r="L141" s="44"/>
    </row>
    <row r="142" spans="1:12" ht="37.5" x14ac:dyDescent="0.35">
      <c r="A142" s="12">
        <v>137</v>
      </c>
      <c r="B142" s="12" t="s">
        <v>1148</v>
      </c>
      <c r="C142" s="11" t="s">
        <v>1149</v>
      </c>
      <c r="D142" s="11" t="s">
        <v>20</v>
      </c>
      <c r="E142" s="11" t="s">
        <v>2097</v>
      </c>
      <c r="F142" s="11" t="s">
        <v>17</v>
      </c>
      <c r="G142" s="11" t="s">
        <v>92</v>
      </c>
      <c r="H142" s="11" t="s">
        <v>193</v>
      </c>
      <c r="I142" s="35" t="s">
        <v>2098</v>
      </c>
      <c r="J142" s="41">
        <f>COUNTA('Team Wise'!D411:D413)</f>
        <v>3</v>
      </c>
      <c r="K142" s="44"/>
      <c r="L142" s="44"/>
    </row>
    <row r="143" spans="1:12" ht="37.5" x14ac:dyDescent="0.35">
      <c r="A143" s="22">
        <v>138</v>
      </c>
      <c r="B143" s="22" t="s">
        <v>1156</v>
      </c>
      <c r="C143" s="21" t="s">
        <v>1157</v>
      </c>
      <c r="D143" s="21" t="s">
        <v>20</v>
      </c>
      <c r="E143" s="21" t="s">
        <v>2099</v>
      </c>
      <c r="F143" s="21" t="s">
        <v>17</v>
      </c>
      <c r="G143" s="21" t="s">
        <v>2100</v>
      </c>
      <c r="H143" s="21" t="s">
        <v>31</v>
      </c>
      <c r="I143" s="38" t="s">
        <v>2101</v>
      </c>
      <c r="J143" s="42">
        <f>COUNTA('Team Wise'!D414:D415)</f>
        <v>2</v>
      </c>
      <c r="K143" s="44"/>
      <c r="L143" s="44"/>
    </row>
    <row r="144" spans="1:12" ht="25" x14ac:dyDescent="0.35">
      <c r="A144" s="12">
        <v>139</v>
      </c>
      <c r="B144" s="12" t="s">
        <v>1162</v>
      </c>
      <c r="C144" s="11" t="s">
        <v>1157</v>
      </c>
      <c r="D144" s="11" t="s">
        <v>20</v>
      </c>
      <c r="E144" s="11" t="s">
        <v>1163</v>
      </c>
      <c r="F144" s="11" t="s">
        <v>17</v>
      </c>
      <c r="G144" s="11" t="s">
        <v>30</v>
      </c>
      <c r="H144" s="11" t="s">
        <v>31</v>
      </c>
      <c r="I144" s="35" t="s">
        <v>1164</v>
      </c>
      <c r="J144" s="41">
        <f>COUNTA('Team Wise'!D416:D416)</f>
        <v>1</v>
      </c>
      <c r="K144" s="44"/>
      <c r="L144" s="44"/>
    </row>
    <row r="145" spans="1:12" ht="37.5" x14ac:dyDescent="0.35">
      <c r="A145" s="22">
        <v>140</v>
      </c>
      <c r="B145" s="22" t="s">
        <v>1165</v>
      </c>
      <c r="C145" s="21" t="s">
        <v>1166</v>
      </c>
      <c r="D145" s="21" t="s">
        <v>20</v>
      </c>
      <c r="E145" s="21" t="s">
        <v>2102</v>
      </c>
      <c r="F145" s="21" t="s">
        <v>243</v>
      </c>
      <c r="G145" s="21" t="s">
        <v>92</v>
      </c>
      <c r="H145" s="21" t="s">
        <v>55</v>
      </c>
      <c r="I145" s="38" t="s">
        <v>2103</v>
      </c>
      <c r="J145" s="42">
        <f>COUNTA('Team Wise'!D417:D419)</f>
        <v>3</v>
      </c>
      <c r="K145" s="44"/>
      <c r="L145" s="44"/>
    </row>
    <row r="146" spans="1:12" ht="62.5" x14ac:dyDescent="0.35">
      <c r="A146" s="12">
        <v>141</v>
      </c>
      <c r="B146" s="12" t="s">
        <v>1173</v>
      </c>
      <c r="C146" s="11" t="s">
        <v>1174</v>
      </c>
      <c r="D146" s="11" t="s">
        <v>20</v>
      </c>
      <c r="E146" s="11" t="s">
        <v>2104</v>
      </c>
      <c r="F146" s="11" t="s">
        <v>17</v>
      </c>
      <c r="G146" s="11" t="s">
        <v>2105</v>
      </c>
      <c r="H146" s="11" t="s">
        <v>55</v>
      </c>
      <c r="I146" s="35" t="s">
        <v>2106</v>
      </c>
      <c r="J146" s="41">
        <f>COUNTA('Team Wise'!D420:D422)</f>
        <v>3</v>
      </c>
      <c r="K146" s="44"/>
      <c r="L146" s="44"/>
    </row>
    <row r="147" spans="1:12" ht="37.5" x14ac:dyDescent="0.35">
      <c r="A147" s="22">
        <v>142</v>
      </c>
      <c r="B147" s="22" t="s">
        <v>1181</v>
      </c>
      <c r="C147" s="21" t="s">
        <v>1182</v>
      </c>
      <c r="D147" s="21" t="s">
        <v>20</v>
      </c>
      <c r="E147" s="21" t="s">
        <v>2107</v>
      </c>
      <c r="F147" s="21" t="s">
        <v>17</v>
      </c>
      <c r="G147" s="21" t="s">
        <v>2108</v>
      </c>
      <c r="H147" s="21" t="s">
        <v>55</v>
      </c>
      <c r="I147" s="38" t="s">
        <v>2109</v>
      </c>
      <c r="J147" s="42">
        <f>COUNTA('Team Wise'!D423:D425)</f>
        <v>3</v>
      </c>
      <c r="K147" s="44"/>
      <c r="L147" s="44"/>
    </row>
    <row r="148" spans="1:12" ht="37.5" x14ac:dyDescent="0.35">
      <c r="A148" s="12">
        <v>143</v>
      </c>
      <c r="B148" s="12" t="s">
        <v>1189</v>
      </c>
      <c r="C148" s="11" t="s">
        <v>1190</v>
      </c>
      <c r="D148" s="11" t="s">
        <v>20</v>
      </c>
      <c r="E148" s="11" t="s">
        <v>2110</v>
      </c>
      <c r="F148" s="11" t="s">
        <v>17</v>
      </c>
      <c r="G148" s="11" t="s">
        <v>42</v>
      </c>
      <c r="H148" s="11" t="s">
        <v>31</v>
      </c>
      <c r="I148" s="35" t="s">
        <v>2111</v>
      </c>
      <c r="J148" s="41">
        <f>COUNTA('Team Wise'!D426:D428)</f>
        <v>3</v>
      </c>
      <c r="K148" s="44"/>
      <c r="L148" s="44"/>
    </row>
    <row r="149" spans="1:12" ht="37.5" x14ac:dyDescent="0.35">
      <c r="A149" s="22">
        <v>144</v>
      </c>
      <c r="B149" s="22" t="s">
        <v>1197</v>
      </c>
      <c r="C149" s="21" t="s">
        <v>1198</v>
      </c>
      <c r="D149" s="21" t="s">
        <v>20</v>
      </c>
      <c r="E149" s="21" t="s">
        <v>2112</v>
      </c>
      <c r="F149" s="21" t="s">
        <v>17</v>
      </c>
      <c r="G149" s="21" t="s">
        <v>92</v>
      </c>
      <c r="H149" s="21" t="s">
        <v>31</v>
      </c>
      <c r="I149" s="38" t="s">
        <v>2113</v>
      </c>
      <c r="J149" s="42">
        <f>COUNTA('Team Wise'!D429:D431)</f>
        <v>3</v>
      </c>
      <c r="K149" s="44"/>
      <c r="L149" s="44"/>
    </row>
    <row r="150" spans="1:12" ht="50" x14ac:dyDescent="0.35">
      <c r="A150" s="12">
        <v>145</v>
      </c>
      <c r="B150" s="12" t="s">
        <v>1205</v>
      </c>
      <c r="C150" s="11" t="s">
        <v>1206</v>
      </c>
      <c r="D150" s="11" t="s">
        <v>20</v>
      </c>
      <c r="E150" s="11" t="s">
        <v>2114</v>
      </c>
      <c r="F150" s="11" t="s">
        <v>17</v>
      </c>
      <c r="G150" s="11" t="s">
        <v>2115</v>
      </c>
      <c r="H150" s="11" t="s">
        <v>31</v>
      </c>
      <c r="I150" s="35" t="s">
        <v>2116</v>
      </c>
      <c r="J150" s="41">
        <f>COUNTA('Team Wise'!D432:D434)</f>
        <v>3</v>
      </c>
      <c r="K150" s="44"/>
      <c r="L150" s="44"/>
    </row>
    <row r="151" spans="1:12" ht="37.5" x14ac:dyDescent="0.35">
      <c r="A151" s="22">
        <v>146</v>
      </c>
      <c r="B151" s="22" t="s">
        <v>1213</v>
      </c>
      <c r="C151" s="21" t="s">
        <v>1214</v>
      </c>
      <c r="D151" s="21" t="s">
        <v>20</v>
      </c>
      <c r="E151" s="21" t="s">
        <v>2117</v>
      </c>
      <c r="F151" s="21" t="s">
        <v>17</v>
      </c>
      <c r="G151" s="21" t="s">
        <v>92</v>
      </c>
      <c r="H151" s="21" t="s">
        <v>31</v>
      </c>
      <c r="I151" s="38" t="s">
        <v>2118</v>
      </c>
      <c r="J151" s="42">
        <f>COUNTA('Team Wise'!D435:D437)</f>
        <v>3</v>
      </c>
      <c r="K151" s="44"/>
      <c r="L151" s="44"/>
    </row>
    <row r="152" spans="1:12" ht="37.5" x14ac:dyDescent="0.35">
      <c r="A152" s="12">
        <v>147</v>
      </c>
      <c r="B152" s="12" t="s">
        <v>1221</v>
      </c>
      <c r="C152" s="11" t="s">
        <v>1222</v>
      </c>
      <c r="D152" s="11" t="s">
        <v>20</v>
      </c>
      <c r="E152" s="11" t="s">
        <v>2119</v>
      </c>
      <c r="F152" s="11" t="s">
        <v>17</v>
      </c>
      <c r="G152" s="11" t="s">
        <v>92</v>
      </c>
      <c r="H152" s="11" t="s">
        <v>31</v>
      </c>
      <c r="I152" s="35" t="s">
        <v>2120</v>
      </c>
      <c r="J152" s="41">
        <f>COUNTA('Team Wise'!D438:D440)</f>
        <v>3</v>
      </c>
      <c r="K152" s="44"/>
      <c r="L152" s="44"/>
    </row>
    <row r="153" spans="1:12" ht="50" x14ac:dyDescent="0.35">
      <c r="A153" s="22">
        <v>148</v>
      </c>
      <c r="B153" s="22" t="s">
        <v>1229</v>
      </c>
      <c r="C153" s="21" t="s">
        <v>1230</v>
      </c>
      <c r="D153" s="21" t="s">
        <v>20</v>
      </c>
      <c r="E153" s="21" t="s">
        <v>2121</v>
      </c>
      <c r="F153" s="21" t="s">
        <v>167</v>
      </c>
      <c r="G153" s="21" t="s">
        <v>92</v>
      </c>
      <c r="H153" s="21" t="s">
        <v>55</v>
      </c>
      <c r="I153" s="38" t="s">
        <v>2122</v>
      </c>
      <c r="J153" s="42">
        <f>COUNTA('Team Wise'!D441:D443)</f>
        <v>3</v>
      </c>
      <c r="K153" s="44"/>
      <c r="L153" s="44"/>
    </row>
    <row r="154" spans="1:12" ht="50" x14ac:dyDescent="0.35">
      <c r="A154" s="12">
        <v>149</v>
      </c>
      <c r="B154" s="12" t="s">
        <v>1237</v>
      </c>
      <c r="C154" s="11" t="s">
        <v>1238</v>
      </c>
      <c r="D154" s="11" t="s">
        <v>20</v>
      </c>
      <c r="E154" s="11" t="s">
        <v>2123</v>
      </c>
      <c r="F154" s="11" t="s">
        <v>17</v>
      </c>
      <c r="G154" s="11" t="s">
        <v>1800</v>
      </c>
      <c r="H154" s="11" t="s">
        <v>55</v>
      </c>
      <c r="I154" s="35" t="s">
        <v>2124</v>
      </c>
      <c r="J154" s="41">
        <f>COUNTA('Team Wise'!D444:D446)</f>
        <v>3</v>
      </c>
      <c r="K154" s="44"/>
      <c r="L154" s="44"/>
    </row>
    <row r="155" spans="1:12" ht="50" x14ac:dyDescent="0.35">
      <c r="A155" s="22">
        <v>150</v>
      </c>
      <c r="B155" s="22" t="s">
        <v>1245</v>
      </c>
      <c r="C155" s="21" t="s">
        <v>1246</v>
      </c>
      <c r="D155" s="21" t="s">
        <v>20</v>
      </c>
      <c r="E155" s="21" t="s">
        <v>2125</v>
      </c>
      <c r="F155" s="21" t="s">
        <v>17</v>
      </c>
      <c r="G155" s="21" t="s">
        <v>42</v>
      </c>
      <c r="H155" s="21" t="s">
        <v>31</v>
      </c>
      <c r="I155" s="38" t="s">
        <v>2126</v>
      </c>
      <c r="J155" s="42">
        <f>COUNTA('Team Wise'!D447:D449)</f>
        <v>3</v>
      </c>
      <c r="K155" s="44"/>
      <c r="L155" s="44"/>
    </row>
    <row r="156" spans="1:12" ht="62.5" x14ac:dyDescent="0.35">
      <c r="A156" s="12">
        <v>151</v>
      </c>
      <c r="B156" s="12" t="s">
        <v>1253</v>
      </c>
      <c r="C156" s="11" t="s">
        <v>1254</v>
      </c>
      <c r="D156" s="11" t="s">
        <v>20</v>
      </c>
      <c r="E156" s="11" t="s">
        <v>2127</v>
      </c>
      <c r="F156" s="11" t="s">
        <v>167</v>
      </c>
      <c r="G156" s="11" t="s">
        <v>2105</v>
      </c>
      <c r="H156" s="11" t="s">
        <v>1851</v>
      </c>
      <c r="I156" s="35" t="s">
        <v>2128</v>
      </c>
      <c r="J156" s="41">
        <f>COUNTA('Team Wise'!D450:D452)</f>
        <v>3</v>
      </c>
      <c r="K156" s="44"/>
      <c r="L156" s="44"/>
    </row>
    <row r="157" spans="1:12" ht="37.5" x14ac:dyDescent="0.35">
      <c r="A157" s="22">
        <v>152</v>
      </c>
      <c r="B157" s="22" t="s">
        <v>1261</v>
      </c>
      <c r="C157" s="21" t="s">
        <v>1262</v>
      </c>
      <c r="D157" s="21" t="s">
        <v>20</v>
      </c>
      <c r="E157" s="21" t="s">
        <v>2129</v>
      </c>
      <c r="F157" s="21" t="s">
        <v>1264</v>
      </c>
      <c r="G157" s="21" t="s">
        <v>30</v>
      </c>
      <c r="H157" s="21" t="s">
        <v>31</v>
      </c>
      <c r="I157" s="38" t="s">
        <v>2130</v>
      </c>
      <c r="J157" s="42">
        <f>COUNTA('Team Wise'!D453:D455)</f>
        <v>3</v>
      </c>
      <c r="K157" s="44"/>
      <c r="L157" s="44"/>
    </row>
    <row r="158" spans="1:12" ht="37.5" x14ac:dyDescent="0.35">
      <c r="A158" s="12">
        <v>153</v>
      </c>
      <c r="B158" s="12" t="s">
        <v>1270</v>
      </c>
      <c r="C158" s="11" t="s">
        <v>1271</v>
      </c>
      <c r="D158" s="11" t="s">
        <v>20</v>
      </c>
      <c r="E158" s="11" t="s">
        <v>2131</v>
      </c>
      <c r="F158" s="11" t="s">
        <v>234</v>
      </c>
      <c r="G158" s="11" t="s">
        <v>42</v>
      </c>
      <c r="H158" s="11" t="s">
        <v>55</v>
      </c>
      <c r="I158" s="35" t="s">
        <v>2132</v>
      </c>
      <c r="J158" s="41">
        <f>COUNTA('Team Wise'!D456:D458)</f>
        <v>3</v>
      </c>
      <c r="K158" s="44"/>
      <c r="L158" s="44"/>
    </row>
    <row r="159" spans="1:12" ht="37.5" x14ac:dyDescent="0.35">
      <c r="A159" s="22">
        <v>154</v>
      </c>
      <c r="B159" s="22" t="s">
        <v>1278</v>
      </c>
      <c r="C159" s="21" t="s">
        <v>1279</v>
      </c>
      <c r="D159" s="21" t="s">
        <v>20</v>
      </c>
      <c r="E159" s="21" t="s">
        <v>2133</v>
      </c>
      <c r="F159" s="21" t="s">
        <v>17</v>
      </c>
      <c r="G159" s="21" t="s">
        <v>1811</v>
      </c>
      <c r="H159" s="21" t="s">
        <v>55</v>
      </c>
      <c r="I159" s="38" t="s">
        <v>2134</v>
      </c>
      <c r="J159" s="42">
        <f>COUNTA('Team Wise'!D459:D461)</f>
        <v>3</v>
      </c>
      <c r="K159" s="44"/>
      <c r="L159" s="44"/>
    </row>
    <row r="160" spans="1:12" ht="37.5" x14ac:dyDescent="0.35">
      <c r="A160" s="12">
        <v>155</v>
      </c>
      <c r="B160" s="12" t="s">
        <v>1286</v>
      </c>
      <c r="C160" s="11" t="s">
        <v>1287</v>
      </c>
      <c r="D160" s="11" t="s">
        <v>20</v>
      </c>
      <c r="E160" s="11" t="s">
        <v>2135</v>
      </c>
      <c r="F160" s="11" t="s">
        <v>17</v>
      </c>
      <c r="G160" s="11" t="s">
        <v>294</v>
      </c>
      <c r="H160" s="11" t="s">
        <v>31</v>
      </c>
      <c r="I160" s="35" t="s">
        <v>2136</v>
      </c>
      <c r="J160" s="41">
        <f>COUNTA('Team Wise'!D462:D464)</f>
        <v>3</v>
      </c>
      <c r="K160" s="44"/>
      <c r="L160" s="44"/>
    </row>
    <row r="161" spans="1:12" ht="37.5" x14ac:dyDescent="0.35">
      <c r="A161" s="22">
        <v>156</v>
      </c>
      <c r="B161" s="22" t="s">
        <v>1294</v>
      </c>
      <c r="C161" s="21" t="s">
        <v>1295</v>
      </c>
      <c r="D161" s="21" t="s">
        <v>20</v>
      </c>
      <c r="E161" s="21" t="s">
        <v>2137</v>
      </c>
      <c r="F161" s="21" t="s">
        <v>380</v>
      </c>
      <c r="G161" s="21" t="s">
        <v>30</v>
      </c>
      <c r="H161" s="21" t="s">
        <v>31</v>
      </c>
      <c r="I161" s="38" t="s">
        <v>2138</v>
      </c>
      <c r="J161" s="42">
        <f>COUNTA('Team Wise'!D465:D467)</f>
        <v>3</v>
      </c>
      <c r="K161" s="44"/>
      <c r="L161" s="44"/>
    </row>
    <row r="162" spans="1:12" ht="50" x14ac:dyDescent="0.35">
      <c r="A162" s="12">
        <v>157</v>
      </c>
      <c r="B162" s="12" t="s">
        <v>1302</v>
      </c>
      <c r="C162" s="11" t="s">
        <v>1303</v>
      </c>
      <c r="D162" s="11" t="s">
        <v>20</v>
      </c>
      <c r="E162" s="11" t="s">
        <v>2139</v>
      </c>
      <c r="F162" s="11" t="s">
        <v>1854</v>
      </c>
      <c r="G162" s="11" t="s">
        <v>2140</v>
      </c>
      <c r="H162" s="11" t="s">
        <v>55</v>
      </c>
      <c r="I162" s="35" t="s">
        <v>2141</v>
      </c>
      <c r="J162" s="41">
        <f>COUNTA('Team Wise'!D468:D470)</f>
        <v>3</v>
      </c>
      <c r="K162" s="44"/>
      <c r="L162" s="44"/>
    </row>
    <row r="163" spans="1:12" ht="50" x14ac:dyDescent="0.35">
      <c r="A163" s="22">
        <v>158</v>
      </c>
      <c r="B163" s="22" t="s">
        <v>1310</v>
      </c>
      <c r="C163" s="21" t="s">
        <v>1311</v>
      </c>
      <c r="D163" s="21" t="s">
        <v>20</v>
      </c>
      <c r="E163" s="21" t="s">
        <v>2142</v>
      </c>
      <c r="F163" s="21" t="s">
        <v>897</v>
      </c>
      <c r="G163" s="21" t="s">
        <v>92</v>
      </c>
      <c r="H163" s="21" t="s">
        <v>55</v>
      </c>
      <c r="I163" s="38" t="s">
        <v>2143</v>
      </c>
      <c r="J163" s="42">
        <f>COUNTA('Team Wise'!D471:D473)</f>
        <v>3</v>
      </c>
      <c r="K163" s="44"/>
      <c r="L163" s="44"/>
    </row>
    <row r="164" spans="1:12" ht="37.5" x14ac:dyDescent="0.35">
      <c r="A164" s="12">
        <v>159</v>
      </c>
      <c r="B164" s="12" t="s">
        <v>1318</v>
      </c>
      <c r="C164" s="11" t="s">
        <v>1319</v>
      </c>
      <c r="D164" s="11" t="s">
        <v>20</v>
      </c>
      <c r="E164" s="11" t="s">
        <v>2144</v>
      </c>
      <c r="F164" s="11" t="s">
        <v>553</v>
      </c>
      <c r="G164" s="11" t="s">
        <v>42</v>
      </c>
      <c r="H164" s="11" t="s">
        <v>193</v>
      </c>
      <c r="I164" s="35" t="s">
        <v>2145</v>
      </c>
      <c r="J164" s="41">
        <f>COUNTA('Team Wise'!D474:D476)</f>
        <v>3</v>
      </c>
      <c r="K164" s="44"/>
      <c r="L164" s="44"/>
    </row>
    <row r="165" spans="1:12" ht="37.5" x14ac:dyDescent="0.35">
      <c r="A165" s="22">
        <v>160</v>
      </c>
      <c r="B165" s="22" t="s">
        <v>1326</v>
      </c>
      <c r="C165" s="21" t="s">
        <v>1327</v>
      </c>
      <c r="D165" s="21" t="s">
        <v>20</v>
      </c>
      <c r="E165" s="21" t="s">
        <v>2146</v>
      </c>
      <c r="F165" s="21" t="s">
        <v>17</v>
      </c>
      <c r="G165" s="21" t="s">
        <v>92</v>
      </c>
      <c r="H165" s="21" t="s">
        <v>55</v>
      </c>
      <c r="I165" s="38" t="s">
        <v>2147</v>
      </c>
      <c r="J165" s="42">
        <f>COUNTA('Team Wise'!D477:D479)</f>
        <v>3</v>
      </c>
      <c r="K165" s="44"/>
      <c r="L165" s="44"/>
    </row>
    <row r="166" spans="1:12" ht="62.5" x14ac:dyDescent="0.35">
      <c r="A166" s="12">
        <v>161</v>
      </c>
      <c r="B166" s="12" t="s">
        <v>1334</v>
      </c>
      <c r="C166" s="11" t="s">
        <v>1327</v>
      </c>
      <c r="D166" s="11" t="s">
        <v>20</v>
      </c>
      <c r="E166" s="11" t="s">
        <v>2148</v>
      </c>
      <c r="F166" s="11" t="s">
        <v>2149</v>
      </c>
      <c r="G166" s="11" t="s">
        <v>42</v>
      </c>
      <c r="H166" s="11" t="s">
        <v>19</v>
      </c>
      <c r="I166" s="35" t="s">
        <v>2150</v>
      </c>
      <c r="J166" s="41">
        <f>COUNTA('Team Wise'!D480:D482)</f>
        <v>3</v>
      </c>
      <c r="K166" s="44"/>
      <c r="L166" s="44"/>
    </row>
    <row r="167" spans="1:12" ht="50" x14ac:dyDescent="0.35">
      <c r="A167" s="22">
        <v>162</v>
      </c>
      <c r="B167" s="22" t="s">
        <v>1341</v>
      </c>
      <c r="C167" s="21" t="s">
        <v>1327</v>
      </c>
      <c r="D167" s="21" t="s">
        <v>20</v>
      </c>
      <c r="E167" s="21" t="s">
        <v>2151</v>
      </c>
      <c r="F167" s="21" t="s">
        <v>17</v>
      </c>
      <c r="G167" s="21" t="s">
        <v>92</v>
      </c>
      <c r="H167" s="21" t="s">
        <v>193</v>
      </c>
      <c r="I167" s="38" t="s">
        <v>2152</v>
      </c>
      <c r="J167" s="42">
        <f>COUNTA('Team Wise'!D483:D485)</f>
        <v>3</v>
      </c>
      <c r="K167" s="44"/>
      <c r="L167" s="44"/>
    </row>
    <row r="168" spans="1:12" ht="37.5" x14ac:dyDescent="0.35">
      <c r="A168" s="12">
        <v>163</v>
      </c>
      <c r="B168" s="12" t="s">
        <v>1348</v>
      </c>
      <c r="C168" s="11" t="s">
        <v>1349</v>
      </c>
      <c r="D168" s="11" t="s">
        <v>20</v>
      </c>
      <c r="E168" s="11" t="s">
        <v>2153</v>
      </c>
      <c r="F168" s="11" t="s">
        <v>17</v>
      </c>
      <c r="G168" s="11" t="s">
        <v>92</v>
      </c>
      <c r="H168" s="11" t="s">
        <v>19</v>
      </c>
      <c r="I168" s="35" t="s">
        <v>2154</v>
      </c>
      <c r="J168" s="41">
        <f>COUNTA('Team Wise'!D486:D488)</f>
        <v>3</v>
      </c>
      <c r="K168" s="44"/>
      <c r="L168" s="44"/>
    </row>
    <row r="169" spans="1:12" ht="37.5" x14ac:dyDescent="0.35">
      <c r="A169" s="22">
        <v>164</v>
      </c>
      <c r="B169" s="22" t="s">
        <v>1356</v>
      </c>
      <c r="C169" s="21" t="s">
        <v>1357</v>
      </c>
      <c r="D169" s="21" t="s">
        <v>20</v>
      </c>
      <c r="E169" s="21" t="s">
        <v>2155</v>
      </c>
      <c r="F169" s="21" t="s">
        <v>17</v>
      </c>
      <c r="G169" s="21" t="s">
        <v>30</v>
      </c>
      <c r="H169" s="21" t="s">
        <v>31</v>
      </c>
      <c r="I169" s="38" t="s">
        <v>2156</v>
      </c>
      <c r="J169" s="42">
        <f>COUNTA('Team Wise'!D489:D491)</f>
        <v>3</v>
      </c>
      <c r="K169" s="44"/>
      <c r="L169" s="44"/>
    </row>
    <row r="170" spans="1:12" ht="37.5" x14ac:dyDescent="0.35">
      <c r="A170" s="12">
        <v>165</v>
      </c>
      <c r="B170" s="12" t="s">
        <v>1364</v>
      </c>
      <c r="C170" s="11" t="s">
        <v>1365</v>
      </c>
      <c r="D170" s="11" t="s">
        <v>20</v>
      </c>
      <c r="E170" s="11" t="s">
        <v>2157</v>
      </c>
      <c r="F170" s="11" t="s">
        <v>17</v>
      </c>
      <c r="G170" s="11" t="s">
        <v>42</v>
      </c>
      <c r="H170" s="11" t="s">
        <v>31</v>
      </c>
      <c r="I170" s="35" t="s">
        <v>2158</v>
      </c>
      <c r="J170" s="41">
        <f>COUNTA('Team Wise'!D492:D494)</f>
        <v>3</v>
      </c>
      <c r="K170" s="44"/>
      <c r="L170" s="44"/>
    </row>
    <row r="171" spans="1:12" ht="37.5" x14ac:dyDescent="0.35">
      <c r="A171" s="22">
        <v>166</v>
      </c>
      <c r="B171" s="22" t="s">
        <v>1372</v>
      </c>
      <c r="C171" s="21" t="s">
        <v>1373</v>
      </c>
      <c r="D171" s="21" t="s">
        <v>20</v>
      </c>
      <c r="E171" s="21" t="s">
        <v>2159</v>
      </c>
      <c r="F171" s="21" t="s">
        <v>17</v>
      </c>
      <c r="G171" s="21" t="s">
        <v>42</v>
      </c>
      <c r="H171" s="21" t="s">
        <v>31</v>
      </c>
      <c r="I171" s="38" t="s">
        <v>2160</v>
      </c>
      <c r="J171" s="42">
        <f>COUNTA('Team Wise'!D495:D497)</f>
        <v>3</v>
      </c>
      <c r="K171" s="44"/>
      <c r="L171" s="44"/>
    </row>
    <row r="172" spans="1:12" ht="87.5" x14ac:dyDescent="0.35">
      <c r="A172" s="12">
        <v>167</v>
      </c>
      <c r="B172" s="12" t="s">
        <v>1380</v>
      </c>
      <c r="C172" s="11" t="s">
        <v>1381</v>
      </c>
      <c r="D172" s="11" t="s">
        <v>20</v>
      </c>
      <c r="E172" s="11" t="s">
        <v>2161</v>
      </c>
      <c r="F172" s="11" t="s">
        <v>2162</v>
      </c>
      <c r="G172" s="11" t="s">
        <v>2163</v>
      </c>
      <c r="H172" s="11" t="s">
        <v>31</v>
      </c>
      <c r="I172" s="35" t="s">
        <v>2164</v>
      </c>
      <c r="J172" s="41">
        <f>COUNTA('Team Wise'!D498:D500)</f>
        <v>3</v>
      </c>
      <c r="K172" s="44"/>
      <c r="L172" s="44"/>
    </row>
    <row r="173" spans="1:12" ht="50" x14ac:dyDescent="0.35">
      <c r="A173" s="22">
        <v>168</v>
      </c>
      <c r="B173" s="22" t="s">
        <v>1388</v>
      </c>
      <c r="C173" s="21" t="s">
        <v>1389</v>
      </c>
      <c r="D173" s="21" t="s">
        <v>20</v>
      </c>
      <c r="E173" s="21" t="s">
        <v>2165</v>
      </c>
      <c r="F173" s="21" t="s">
        <v>17</v>
      </c>
      <c r="G173" s="21" t="s">
        <v>1899</v>
      </c>
      <c r="H173" s="21" t="s">
        <v>31</v>
      </c>
      <c r="I173" s="38" t="s">
        <v>2166</v>
      </c>
      <c r="J173" s="42">
        <f>COUNTA('Team Wise'!D501:D503)</f>
        <v>3</v>
      </c>
      <c r="K173" s="44"/>
      <c r="L173" s="44"/>
    </row>
    <row r="174" spans="1:12" ht="37.5" x14ac:dyDescent="0.35">
      <c r="A174" s="12">
        <v>169</v>
      </c>
      <c r="B174" s="12" t="s">
        <v>1396</v>
      </c>
      <c r="C174" s="11" t="s">
        <v>1397</v>
      </c>
      <c r="D174" s="11" t="s">
        <v>20</v>
      </c>
      <c r="E174" s="11" t="s">
        <v>2167</v>
      </c>
      <c r="F174" s="11" t="s">
        <v>320</v>
      </c>
      <c r="G174" s="11" t="s">
        <v>1811</v>
      </c>
      <c r="H174" s="11" t="s">
        <v>2168</v>
      </c>
      <c r="I174" s="35" t="s">
        <v>2169</v>
      </c>
      <c r="J174" s="41">
        <f>COUNTA('Team Wise'!D504:D506)</f>
        <v>3</v>
      </c>
      <c r="K174" s="44"/>
      <c r="L174" s="44"/>
    </row>
    <row r="175" spans="1:12" ht="37.5" x14ac:dyDescent="0.35">
      <c r="A175" s="22">
        <v>170</v>
      </c>
      <c r="B175" s="22" t="s">
        <v>1404</v>
      </c>
      <c r="C175" s="21" t="s">
        <v>1405</v>
      </c>
      <c r="D175" s="21" t="s">
        <v>20</v>
      </c>
      <c r="E175" s="21" t="s">
        <v>2170</v>
      </c>
      <c r="F175" s="21" t="s">
        <v>17</v>
      </c>
      <c r="G175" s="21" t="s">
        <v>42</v>
      </c>
      <c r="H175" s="21" t="s">
        <v>55</v>
      </c>
      <c r="I175" s="38" t="s">
        <v>2171</v>
      </c>
      <c r="J175" s="42">
        <f>COUNTA('Team Wise'!D507:D509)</f>
        <v>3</v>
      </c>
      <c r="K175" s="44"/>
      <c r="L175" s="44"/>
    </row>
    <row r="176" spans="1:12" ht="37.5" x14ac:dyDescent="0.35">
      <c r="A176" s="12">
        <v>171</v>
      </c>
      <c r="B176" s="12" t="s">
        <v>1412</v>
      </c>
      <c r="C176" s="11" t="s">
        <v>1413</v>
      </c>
      <c r="D176" s="11" t="s">
        <v>20</v>
      </c>
      <c r="E176" s="11" t="s">
        <v>2172</v>
      </c>
      <c r="F176" s="11" t="s">
        <v>17</v>
      </c>
      <c r="G176" s="11" t="s">
        <v>2173</v>
      </c>
      <c r="H176" s="11" t="s">
        <v>2174</v>
      </c>
      <c r="I176" s="35" t="s">
        <v>2175</v>
      </c>
      <c r="J176" s="41">
        <f>COUNTA('Team Wise'!D510:D512)</f>
        <v>3</v>
      </c>
      <c r="K176" s="44"/>
      <c r="L176" s="44"/>
    </row>
    <row r="177" spans="1:12" ht="62.5" x14ac:dyDescent="0.35">
      <c r="A177" s="22">
        <v>172</v>
      </c>
      <c r="B177" s="22" t="s">
        <v>1420</v>
      </c>
      <c r="C177" s="21" t="s">
        <v>1421</v>
      </c>
      <c r="D177" s="21" t="s">
        <v>20</v>
      </c>
      <c r="E177" s="21" t="s">
        <v>2176</v>
      </c>
      <c r="F177" s="21" t="s">
        <v>438</v>
      </c>
      <c r="G177" s="21" t="s">
        <v>2177</v>
      </c>
      <c r="H177" s="21" t="s">
        <v>19</v>
      </c>
      <c r="I177" s="38" t="s">
        <v>2178</v>
      </c>
      <c r="J177" s="42">
        <f>COUNTA('Team Wise'!D513:D515)</f>
        <v>3</v>
      </c>
      <c r="K177" s="44"/>
      <c r="L177" s="44"/>
    </row>
    <row r="178" spans="1:12" ht="37.5" x14ac:dyDescent="0.35">
      <c r="A178" s="12">
        <v>173</v>
      </c>
      <c r="B178" s="12" t="s">
        <v>1428</v>
      </c>
      <c r="C178" s="11" t="s">
        <v>1429</v>
      </c>
      <c r="D178" s="11" t="s">
        <v>20</v>
      </c>
      <c r="E178" s="11" t="s">
        <v>2179</v>
      </c>
      <c r="F178" s="11" t="s">
        <v>17</v>
      </c>
      <c r="G178" s="11" t="s">
        <v>42</v>
      </c>
      <c r="H178" s="11" t="s">
        <v>31</v>
      </c>
      <c r="I178" s="35" t="s">
        <v>2180</v>
      </c>
      <c r="J178" s="41">
        <f>COUNTA('Team Wise'!D516:D518)</f>
        <v>3</v>
      </c>
      <c r="K178" s="44"/>
      <c r="L178" s="44"/>
    </row>
    <row r="179" spans="1:12" ht="37.5" x14ac:dyDescent="0.35">
      <c r="A179" s="22">
        <v>174</v>
      </c>
      <c r="B179" s="22" t="s">
        <v>1436</v>
      </c>
      <c r="C179" s="21" t="s">
        <v>1437</v>
      </c>
      <c r="D179" s="21" t="s">
        <v>20</v>
      </c>
      <c r="E179" s="21" t="s">
        <v>2181</v>
      </c>
      <c r="F179" s="21" t="s">
        <v>17</v>
      </c>
      <c r="G179" s="21" t="s">
        <v>30</v>
      </c>
      <c r="H179" s="21" t="s">
        <v>55</v>
      </c>
      <c r="I179" s="38" t="s">
        <v>2182</v>
      </c>
      <c r="J179" s="42">
        <f>COUNTA('Team Wise'!D519:D521)</f>
        <v>3</v>
      </c>
      <c r="K179" s="44"/>
      <c r="L179" s="44"/>
    </row>
    <row r="180" spans="1:12" ht="37.5" x14ac:dyDescent="0.35">
      <c r="A180" s="12">
        <v>175</v>
      </c>
      <c r="B180" s="12" t="s">
        <v>1444</v>
      </c>
      <c r="C180" s="11" t="s">
        <v>1445</v>
      </c>
      <c r="D180" s="11" t="s">
        <v>20</v>
      </c>
      <c r="E180" s="11" t="s">
        <v>2183</v>
      </c>
      <c r="F180" s="11" t="s">
        <v>17</v>
      </c>
      <c r="G180" s="11" t="s">
        <v>30</v>
      </c>
      <c r="H180" s="11" t="s">
        <v>55</v>
      </c>
      <c r="I180" s="35" t="s">
        <v>2184</v>
      </c>
      <c r="J180" s="41">
        <f>COUNTA('Team Wise'!D522:D524)</f>
        <v>3</v>
      </c>
      <c r="K180" s="44"/>
      <c r="L180" s="44"/>
    </row>
    <row r="181" spans="1:12" ht="37.5" x14ac:dyDescent="0.35">
      <c r="A181" s="22">
        <v>176</v>
      </c>
      <c r="B181" s="22" t="s">
        <v>1452</v>
      </c>
      <c r="C181" s="21" t="s">
        <v>1453</v>
      </c>
      <c r="D181" s="21" t="s">
        <v>20</v>
      </c>
      <c r="E181" s="21" t="s">
        <v>2185</v>
      </c>
      <c r="F181" s="21" t="s">
        <v>17</v>
      </c>
      <c r="G181" s="21" t="s">
        <v>30</v>
      </c>
      <c r="H181" s="21" t="s">
        <v>55</v>
      </c>
      <c r="I181" s="38" t="s">
        <v>2186</v>
      </c>
      <c r="J181" s="42">
        <f>COUNTA('Team Wise'!D525:D527)</f>
        <v>3</v>
      </c>
      <c r="K181" s="44"/>
      <c r="L181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55CA-522B-4B18-87F1-FFE222E833EC}">
  <dimension ref="A5:L31"/>
  <sheetViews>
    <sheetView zoomScale="85" zoomScaleNormal="85" workbookViewId="0">
      <selection activeCell="F37" sqref="F37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37.5" x14ac:dyDescent="0.35">
      <c r="A6" s="12">
        <v>1</v>
      </c>
      <c r="B6" s="12" t="s">
        <v>1460</v>
      </c>
      <c r="C6" s="11" t="s">
        <v>1461</v>
      </c>
      <c r="D6" s="11" t="s">
        <v>1463</v>
      </c>
      <c r="E6" s="11" t="s">
        <v>2187</v>
      </c>
      <c r="F6" s="11" t="s">
        <v>17</v>
      </c>
      <c r="G6" s="11" t="s">
        <v>92</v>
      </c>
      <c r="H6" s="11" t="s">
        <v>55</v>
      </c>
      <c r="I6" s="35" t="s">
        <v>2188</v>
      </c>
      <c r="J6" s="12">
        <f>COUNTA('Team Wise'!D354:D356)</f>
        <v>3</v>
      </c>
      <c r="K6" s="44"/>
      <c r="L6" s="44"/>
    </row>
    <row r="7" spans="1:12" ht="62.5" x14ac:dyDescent="0.35">
      <c r="A7" s="22">
        <v>2</v>
      </c>
      <c r="B7" s="22" t="s">
        <v>1469</v>
      </c>
      <c r="C7" s="21" t="s">
        <v>1470</v>
      </c>
      <c r="D7" s="21" t="s">
        <v>1463</v>
      </c>
      <c r="E7" s="21" t="s">
        <v>2189</v>
      </c>
      <c r="F7" s="21" t="s">
        <v>2190</v>
      </c>
      <c r="G7" s="21" t="s">
        <v>2191</v>
      </c>
      <c r="H7" s="21" t="s">
        <v>55</v>
      </c>
      <c r="I7" s="38" t="s">
        <v>2192</v>
      </c>
      <c r="J7" s="22">
        <f>COUNTA('Team Wise'!D357:D359)</f>
        <v>3</v>
      </c>
      <c r="K7" s="44"/>
      <c r="L7" s="44"/>
    </row>
    <row r="8" spans="1:12" ht="50" x14ac:dyDescent="0.35">
      <c r="A8" s="12">
        <v>3</v>
      </c>
      <c r="B8" s="12" t="s">
        <v>1478</v>
      </c>
      <c r="C8" s="11" t="s">
        <v>1479</v>
      </c>
      <c r="D8" s="11" t="s">
        <v>1463</v>
      </c>
      <c r="E8" s="11" t="s">
        <v>2193</v>
      </c>
      <c r="F8" s="11" t="s">
        <v>1481</v>
      </c>
      <c r="G8" s="11" t="s">
        <v>92</v>
      </c>
      <c r="H8" s="11" t="s">
        <v>2023</v>
      </c>
      <c r="I8" s="35" t="s">
        <v>2194</v>
      </c>
      <c r="J8" s="12">
        <f>COUNTA('Team Wise'!D360:D362)</f>
        <v>3</v>
      </c>
      <c r="K8" s="44"/>
      <c r="L8" s="44"/>
    </row>
    <row r="9" spans="1:12" ht="37.5" x14ac:dyDescent="0.35">
      <c r="A9" s="22">
        <v>4</v>
      </c>
      <c r="B9" s="22" t="s">
        <v>1487</v>
      </c>
      <c r="C9" s="21" t="s">
        <v>1488</v>
      </c>
      <c r="D9" s="21" t="s">
        <v>1463</v>
      </c>
      <c r="E9" s="21" t="s">
        <v>2195</v>
      </c>
      <c r="F9" s="21" t="s">
        <v>17</v>
      </c>
      <c r="G9" s="21" t="s">
        <v>92</v>
      </c>
      <c r="H9" s="21" t="s">
        <v>2196</v>
      </c>
      <c r="I9" s="38" t="s">
        <v>2197</v>
      </c>
      <c r="J9" s="22">
        <f>COUNTA('Team Wise'!D363:D365)</f>
        <v>3</v>
      </c>
      <c r="K9" s="44"/>
      <c r="L9" s="44"/>
    </row>
    <row r="10" spans="1:12" ht="37.5" x14ac:dyDescent="0.35">
      <c r="A10" s="12">
        <v>5</v>
      </c>
      <c r="B10" s="12" t="s">
        <v>1495</v>
      </c>
      <c r="C10" s="11" t="s">
        <v>1496</v>
      </c>
      <c r="D10" s="11" t="s">
        <v>1463</v>
      </c>
      <c r="E10" s="11" t="s">
        <v>2198</v>
      </c>
      <c r="F10" s="11" t="s">
        <v>218</v>
      </c>
      <c r="G10" s="11" t="s">
        <v>324</v>
      </c>
      <c r="H10" s="11" t="s">
        <v>31</v>
      </c>
      <c r="I10" s="35" t="s">
        <v>2199</v>
      </c>
      <c r="J10" s="12">
        <f>COUNTA('Team Wise'!D366:D368)</f>
        <v>3</v>
      </c>
      <c r="K10" s="44"/>
      <c r="L10" s="44"/>
    </row>
    <row r="11" spans="1:12" ht="50" x14ac:dyDescent="0.35">
      <c r="A11" s="22">
        <v>6</v>
      </c>
      <c r="B11" s="22" t="s">
        <v>1503</v>
      </c>
      <c r="C11" s="21" t="s">
        <v>1504</v>
      </c>
      <c r="D11" s="21" t="s">
        <v>1463</v>
      </c>
      <c r="E11" s="21" t="s">
        <v>2200</v>
      </c>
      <c r="F11" s="21" t="s">
        <v>218</v>
      </c>
      <c r="G11" s="21" t="s">
        <v>324</v>
      </c>
      <c r="H11" s="21" t="s">
        <v>31</v>
      </c>
      <c r="I11" s="38" t="s">
        <v>2201</v>
      </c>
      <c r="J11" s="22">
        <f>COUNTA('Team Wise'!D369:D371)</f>
        <v>3</v>
      </c>
      <c r="K11" s="44"/>
      <c r="L11" s="44"/>
    </row>
    <row r="12" spans="1:12" ht="37.5" x14ac:dyDescent="0.35">
      <c r="A12" s="12">
        <v>7</v>
      </c>
      <c r="B12" s="12" t="s">
        <v>1511</v>
      </c>
      <c r="C12" s="11" t="s">
        <v>1512</v>
      </c>
      <c r="D12" s="11" t="s">
        <v>1463</v>
      </c>
      <c r="E12" s="11" t="s">
        <v>2202</v>
      </c>
      <c r="F12" s="11" t="s">
        <v>17</v>
      </c>
      <c r="G12" s="11" t="s">
        <v>2203</v>
      </c>
      <c r="H12" s="11" t="s">
        <v>55</v>
      </c>
      <c r="I12" s="35" t="s">
        <v>2204</v>
      </c>
      <c r="J12" s="12">
        <f>COUNTA('Team Wise'!D372:D374)</f>
        <v>3</v>
      </c>
      <c r="K12" s="44"/>
      <c r="L12" s="44"/>
    </row>
    <row r="13" spans="1:12" ht="50" x14ac:dyDescent="0.35">
      <c r="A13" s="22">
        <v>8</v>
      </c>
      <c r="B13" s="22" t="s">
        <v>1519</v>
      </c>
      <c r="C13" s="21" t="s">
        <v>1520</v>
      </c>
      <c r="D13" s="21" t="s">
        <v>1463</v>
      </c>
      <c r="E13" s="21" t="s">
        <v>2205</v>
      </c>
      <c r="F13" s="21" t="s">
        <v>167</v>
      </c>
      <c r="G13" s="21" t="s">
        <v>2206</v>
      </c>
      <c r="H13" s="21" t="s">
        <v>2207</v>
      </c>
      <c r="I13" s="38" t="s">
        <v>2208</v>
      </c>
      <c r="J13" s="22">
        <f>COUNTA('Team Wise'!D375:D377)</f>
        <v>3</v>
      </c>
      <c r="K13" s="44"/>
      <c r="L13" s="44"/>
    </row>
    <row r="14" spans="1:12" ht="37.5" x14ac:dyDescent="0.35">
      <c r="A14" s="12">
        <v>9</v>
      </c>
      <c r="B14" s="12" t="s">
        <v>1527</v>
      </c>
      <c r="C14" s="11" t="s">
        <v>1528</v>
      </c>
      <c r="D14" s="11" t="s">
        <v>1463</v>
      </c>
      <c r="E14" s="11" t="s">
        <v>2209</v>
      </c>
      <c r="F14" s="11" t="s">
        <v>17</v>
      </c>
      <c r="G14" s="11" t="s">
        <v>300</v>
      </c>
      <c r="H14" s="11" t="s">
        <v>55</v>
      </c>
      <c r="I14" s="35" t="s">
        <v>2210</v>
      </c>
      <c r="J14" s="12">
        <f>COUNTA('Team Wise'!D378:D380)</f>
        <v>3</v>
      </c>
      <c r="K14" s="44"/>
      <c r="L14" s="44"/>
    </row>
    <row r="15" spans="1:12" ht="37.5" x14ac:dyDescent="0.35">
      <c r="A15" s="22">
        <v>10</v>
      </c>
      <c r="B15" s="22" t="s">
        <v>1535</v>
      </c>
      <c r="C15" s="21" t="s">
        <v>1536</v>
      </c>
      <c r="D15" s="21" t="s">
        <v>1463</v>
      </c>
      <c r="E15" s="21" t="s">
        <v>2211</v>
      </c>
      <c r="F15" s="21" t="s">
        <v>167</v>
      </c>
      <c r="G15" s="21" t="s">
        <v>30</v>
      </c>
      <c r="H15" s="21" t="s">
        <v>31</v>
      </c>
      <c r="I15" s="38" t="s">
        <v>2212</v>
      </c>
      <c r="J15" s="22">
        <f>COUNTA('Team Wise'!D381:D383)</f>
        <v>3</v>
      </c>
      <c r="K15" s="44"/>
      <c r="L15" s="44"/>
    </row>
    <row r="16" spans="1:12" ht="50" x14ac:dyDescent="0.35">
      <c r="A16" s="12">
        <v>11</v>
      </c>
      <c r="B16" s="12" t="s">
        <v>1543</v>
      </c>
      <c r="C16" s="11" t="s">
        <v>1544</v>
      </c>
      <c r="D16" s="11" t="s">
        <v>1463</v>
      </c>
      <c r="E16" s="11" t="s">
        <v>2213</v>
      </c>
      <c r="F16" s="11" t="s">
        <v>2214</v>
      </c>
      <c r="G16" s="11" t="s">
        <v>2140</v>
      </c>
      <c r="H16" s="11" t="s">
        <v>55</v>
      </c>
      <c r="I16" s="35" t="s">
        <v>2215</v>
      </c>
      <c r="J16" s="12">
        <f>COUNTA('Team Wise'!D384:D386)</f>
        <v>3</v>
      </c>
      <c r="K16" s="44"/>
      <c r="L16" s="44"/>
    </row>
    <row r="17" spans="1:12" ht="37.5" x14ac:dyDescent="0.35">
      <c r="A17" s="22">
        <v>12</v>
      </c>
      <c r="B17" s="22" t="s">
        <v>1552</v>
      </c>
      <c r="C17" s="21" t="s">
        <v>1553</v>
      </c>
      <c r="D17" s="21" t="s">
        <v>1463</v>
      </c>
      <c r="E17" s="21" t="s">
        <v>2216</v>
      </c>
      <c r="F17" s="21" t="s">
        <v>1555</v>
      </c>
      <c r="G17" s="21" t="s">
        <v>92</v>
      </c>
      <c r="H17" s="21" t="s">
        <v>55</v>
      </c>
      <c r="I17" s="38" t="s">
        <v>2217</v>
      </c>
      <c r="J17" s="22">
        <f>COUNTA('Team Wise'!D387:D389)</f>
        <v>3</v>
      </c>
      <c r="K17" s="44"/>
      <c r="L17" s="44"/>
    </row>
    <row r="18" spans="1:12" ht="37.5" x14ac:dyDescent="0.35">
      <c r="A18" s="12">
        <v>13</v>
      </c>
      <c r="B18" s="12" t="s">
        <v>1561</v>
      </c>
      <c r="C18" s="11" t="s">
        <v>1562</v>
      </c>
      <c r="D18" s="11" t="s">
        <v>1463</v>
      </c>
      <c r="E18" s="11" t="s">
        <v>2218</v>
      </c>
      <c r="F18" s="11" t="s">
        <v>133</v>
      </c>
      <c r="G18" s="11" t="s">
        <v>92</v>
      </c>
      <c r="H18" s="11" t="s">
        <v>55</v>
      </c>
      <c r="I18" s="35" t="s">
        <v>2219</v>
      </c>
      <c r="J18" s="12">
        <f>COUNTA('Team Wise'!D390:D392)</f>
        <v>3</v>
      </c>
      <c r="K18" s="44"/>
      <c r="L18" s="44"/>
    </row>
    <row r="19" spans="1:12" ht="62.5" x14ac:dyDescent="0.35">
      <c r="A19" s="22">
        <v>14</v>
      </c>
      <c r="B19" s="22" t="s">
        <v>1569</v>
      </c>
      <c r="C19" s="21" t="s">
        <v>1570</v>
      </c>
      <c r="D19" s="21" t="s">
        <v>1463</v>
      </c>
      <c r="E19" s="21" t="s">
        <v>2220</v>
      </c>
      <c r="F19" s="21" t="s">
        <v>17</v>
      </c>
      <c r="G19" s="21" t="s">
        <v>92</v>
      </c>
      <c r="H19" s="21" t="s">
        <v>55</v>
      </c>
      <c r="I19" s="38" t="s">
        <v>2221</v>
      </c>
      <c r="J19" s="22">
        <f>COUNTA('Team Wise'!D393:D395)</f>
        <v>3</v>
      </c>
      <c r="K19" s="44"/>
      <c r="L19" s="44"/>
    </row>
    <row r="20" spans="1:12" ht="62.5" x14ac:dyDescent="0.35">
      <c r="A20" s="12">
        <v>15</v>
      </c>
      <c r="B20" s="12" t="s">
        <v>1577</v>
      </c>
      <c r="C20" s="11" t="s">
        <v>1578</v>
      </c>
      <c r="D20" s="11" t="s">
        <v>1463</v>
      </c>
      <c r="E20" s="11" t="s">
        <v>2222</v>
      </c>
      <c r="F20" s="11" t="s">
        <v>2223</v>
      </c>
      <c r="G20" s="11" t="s">
        <v>2224</v>
      </c>
      <c r="H20" s="11" t="s">
        <v>2225</v>
      </c>
      <c r="I20" s="35" t="s">
        <v>2226</v>
      </c>
      <c r="J20" s="12">
        <f>COUNTA('Team Wise'!D396:D398)</f>
        <v>3</v>
      </c>
      <c r="K20" s="44"/>
      <c r="L20" s="44"/>
    </row>
    <row r="21" spans="1:12" ht="37.5" x14ac:dyDescent="0.35">
      <c r="A21" s="22">
        <v>16</v>
      </c>
      <c r="B21" s="22" t="s">
        <v>1586</v>
      </c>
      <c r="C21" s="21" t="s">
        <v>1587</v>
      </c>
      <c r="D21" s="21" t="s">
        <v>1463</v>
      </c>
      <c r="E21" s="21" t="s">
        <v>2227</v>
      </c>
      <c r="F21" s="21" t="s">
        <v>438</v>
      </c>
      <c r="G21" s="21" t="s">
        <v>1811</v>
      </c>
      <c r="H21" s="21" t="s">
        <v>19</v>
      </c>
      <c r="I21" s="38" t="s">
        <v>2228</v>
      </c>
      <c r="J21" s="22">
        <f>COUNTA('Team Wise'!D399:D401)</f>
        <v>3</v>
      </c>
      <c r="K21" s="44"/>
      <c r="L21" s="44"/>
    </row>
    <row r="22" spans="1:12" ht="37.5" x14ac:dyDescent="0.35">
      <c r="A22" s="12">
        <v>17</v>
      </c>
      <c r="B22" s="12" t="s">
        <v>1594</v>
      </c>
      <c r="C22" s="11" t="s">
        <v>1595</v>
      </c>
      <c r="D22" s="11" t="s">
        <v>1463</v>
      </c>
      <c r="E22" s="11" t="s">
        <v>2229</v>
      </c>
      <c r="F22" s="11" t="s">
        <v>17</v>
      </c>
      <c r="G22" s="11" t="s">
        <v>300</v>
      </c>
      <c r="H22" s="11" t="s">
        <v>55</v>
      </c>
      <c r="I22" s="35" t="s">
        <v>2230</v>
      </c>
      <c r="J22" s="12">
        <f>COUNTA('Team Wise'!D402:D404)</f>
        <v>3</v>
      </c>
      <c r="K22" s="44"/>
      <c r="L22" s="44"/>
    </row>
    <row r="23" spans="1:12" ht="37.5" x14ac:dyDescent="0.35">
      <c r="A23" s="22">
        <v>18</v>
      </c>
      <c r="B23" s="22" t="s">
        <v>1602</v>
      </c>
      <c r="C23" s="21" t="s">
        <v>1603</v>
      </c>
      <c r="D23" s="21" t="s">
        <v>1463</v>
      </c>
      <c r="E23" s="21" t="s">
        <v>2231</v>
      </c>
      <c r="F23" s="21" t="s">
        <v>17</v>
      </c>
      <c r="G23" s="21" t="s">
        <v>92</v>
      </c>
      <c r="H23" s="21" t="s">
        <v>55</v>
      </c>
      <c r="I23" s="38" t="s">
        <v>2232</v>
      </c>
      <c r="J23" s="22">
        <f>COUNTA('Team Wise'!D405:D407)</f>
        <v>3</v>
      </c>
      <c r="K23" s="44"/>
      <c r="L23" s="44"/>
    </row>
    <row r="24" spans="1:12" ht="37.5" x14ac:dyDescent="0.35">
      <c r="A24" s="12">
        <v>19</v>
      </c>
      <c r="B24" s="12" t="s">
        <v>1610</v>
      </c>
      <c r="C24" s="11" t="s">
        <v>1611</v>
      </c>
      <c r="D24" s="11" t="s">
        <v>1463</v>
      </c>
      <c r="E24" s="11" t="s">
        <v>2233</v>
      </c>
      <c r="F24" s="11" t="s">
        <v>17</v>
      </c>
      <c r="G24" s="11" t="s">
        <v>30</v>
      </c>
      <c r="H24" s="11" t="s">
        <v>55</v>
      </c>
      <c r="I24" s="35" t="s">
        <v>2234</v>
      </c>
      <c r="J24" s="12">
        <f>COUNTA('Team Wise'!D408:D410)</f>
        <v>3</v>
      </c>
      <c r="K24" s="44"/>
      <c r="L24" s="44"/>
    </row>
    <row r="25" spans="1:12" ht="75" x14ac:dyDescent="0.35">
      <c r="A25" s="22">
        <v>20</v>
      </c>
      <c r="B25" s="22" t="s">
        <v>1618</v>
      </c>
      <c r="C25" s="21" t="s">
        <v>1619</v>
      </c>
      <c r="D25" s="21" t="s">
        <v>1463</v>
      </c>
      <c r="E25" s="21" t="s">
        <v>2235</v>
      </c>
      <c r="F25" s="21" t="s">
        <v>2236</v>
      </c>
      <c r="G25" s="21" t="s">
        <v>2026</v>
      </c>
      <c r="H25" s="21" t="s">
        <v>55</v>
      </c>
      <c r="I25" s="38" t="s">
        <v>2237</v>
      </c>
      <c r="J25" s="22">
        <f>COUNTA('Team Wise'!D411:D413)</f>
        <v>3</v>
      </c>
      <c r="K25" s="44"/>
      <c r="L25" s="44"/>
    </row>
    <row r="26" spans="1:12" ht="37.5" x14ac:dyDescent="0.35">
      <c r="A26" s="12">
        <v>21</v>
      </c>
      <c r="B26" s="12" t="s">
        <v>1627</v>
      </c>
      <c r="C26" s="11" t="s">
        <v>1628</v>
      </c>
      <c r="D26" s="11" t="s">
        <v>1463</v>
      </c>
      <c r="E26" s="11" t="s">
        <v>2238</v>
      </c>
      <c r="F26" s="11" t="s">
        <v>17</v>
      </c>
      <c r="G26" s="11" t="s">
        <v>92</v>
      </c>
      <c r="H26" s="11" t="s">
        <v>55</v>
      </c>
      <c r="I26" s="35" t="s">
        <v>2239</v>
      </c>
      <c r="J26" s="12">
        <f>COUNTA('Team Wise'!D414:D416)</f>
        <v>3</v>
      </c>
      <c r="K26" s="44"/>
      <c r="L26" s="44"/>
    </row>
    <row r="27" spans="1:12" ht="37.5" x14ac:dyDescent="0.35">
      <c r="A27" s="22">
        <v>22</v>
      </c>
      <c r="B27" s="22" t="s">
        <v>1635</v>
      </c>
      <c r="C27" s="21" t="s">
        <v>1636</v>
      </c>
      <c r="D27" s="21" t="s">
        <v>1463</v>
      </c>
      <c r="E27" s="21" t="s">
        <v>2240</v>
      </c>
      <c r="F27" s="21" t="s">
        <v>17</v>
      </c>
      <c r="G27" s="21" t="s">
        <v>30</v>
      </c>
      <c r="H27" s="21" t="s">
        <v>55</v>
      </c>
      <c r="I27" s="38" t="s">
        <v>2241</v>
      </c>
      <c r="J27" s="22">
        <f>COUNTA('Team Wise'!D417:D419)</f>
        <v>3</v>
      </c>
      <c r="K27" s="44"/>
      <c r="L27" s="44"/>
    </row>
    <row r="28" spans="1:12" ht="37.5" x14ac:dyDescent="0.35">
      <c r="A28" s="12">
        <v>23</v>
      </c>
      <c r="B28" s="12" t="s">
        <v>1643</v>
      </c>
      <c r="C28" s="11" t="s">
        <v>1644</v>
      </c>
      <c r="D28" s="11" t="s">
        <v>1463</v>
      </c>
      <c r="E28" s="11" t="s">
        <v>2242</v>
      </c>
      <c r="F28" s="11" t="s">
        <v>17</v>
      </c>
      <c r="G28" s="11" t="s">
        <v>92</v>
      </c>
      <c r="H28" s="11" t="s">
        <v>55</v>
      </c>
      <c r="I28" s="35" t="s">
        <v>2243</v>
      </c>
      <c r="J28" s="12">
        <f>COUNTA('Team Wise'!D420:D422)</f>
        <v>3</v>
      </c>
      <c r="K28" s="44"/>
      <c r="L28" s="44"/>
    </row>
    <row r="29" spans="1:12" ht="75" x14ac:dyDescent="0.35">
      <c r="A29" s="22">
        <v>24</v>
      </c>
      <c r="B29" s="22" t="s">
        <v>1651</v>
      </c>
      <c r="C29" s="21" t="s">
        <v>1652</v>
      </c>
      <c r="D29" s="21" t="s">
        <v>1463</v>
      </c>
      <c r="E29" s="21" t="s">
        <v>2244</v>
      </c>
      <c r="F29" s="21" t="s">
        <v>2245</v>
      </c>
      <c r="G29" s="21" t="s">
        <v>2026</v>
      </c>
      <c r="H29" s="21" t="s">
        <v>55</v>
      </c>
      <c r="I29" s="38" t="s">
        <v>2246</v>
      </c>
      <c r="J29" s="22">
        <f>COUNTA('Team Wise'!D423:D425)</f>
        <v>3</v>
      </c>
      <c r="K29" s="44"/>
      <c r="L29" s="44"/>
    </row>
    <row r="30" spans="1:12" ht="37.5" x14ac:dyDescent="0.35">
      <c r="A30" s="12">
        <v>25</v>
      </c>
      <c r="B30" s="12" t="s">
        <v>1660</v>
      </c>
      <c r="C30" s="11" t="s">
        <v>1661</v>
      </c>
      <c r="D30" s="11" t="s">
        <v>1463</v>
      </c>
      <c r="E30" s="11" t="s">
        <v>2247</v>
      </c>
      <c r="F30" s="11" t="s">
        <v>438</v>
      </c>
      <c r="G30" s="11" t="s">
        <v>30</v>
      </c>
      <c r="H30" s="11" t="s">
        <v>19</v>
      </c>
      <c r="I30" s="35" t="s">
        <v>2248</v>
      </c>
      <c r="J30" s="12">
        <f>COUNTA('Team Wise'!D426:D428)</f>
        <v>3</v>
      </c>
      <c r="K30" s="44"/>
      <c r="L30" s="44"/>
    </row>
    <row r="31" spans="1:12" ht="37.5" x14ac:dyDescent="0.35">
      <c r="A31" s="22">
        <v>26</v>
      </c>
      <c r="B31" s="22" t="s">
        <v>1668</v>
      </c>
      <c r="C31" s="21" t="s">
        <v>1669</v>
      </c>
      <c r="D31" s="21" t="s">
        <v>1463</v>
      </c>
      <c r="E31" s="21" t="s">
        <v>2249</v>
      </c>
      <c r="F31" s="21" t="s">
        <v>17</v>
      </c>
      <c r="G31" s="21" t="s">
        <v>18</v>
      </c>
      <c r="H31" s="21" t="s">
        <v>55</v>
      </c>
      <c r="I31" s="38" t="s">
        <v>2250</v>
      </c>
      <c r="J31" s="22">
        <f>COUNTA('Team Wise'!D429:D431)</f>
        <v>3</v>
      </c>
      <c r="K31" s="44"/>
      <c r="L31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DA60-E9D5-497A-BDE9-CF867C2477F9}">
  <dimension ref="A5:L13"/>
  <sheetViews>
    <sheetView topLeftCell="A8" zoomScale="85" zoomScaleNormal="85" workbookViewId="0">
      <selection activeCell="H24" sqref="H24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37.5" x14ac:dyDescent="0.35">
      <c r="A6" s="12">
        <v>1</v>
      </c>
      <c r="B6" s="12" t="s">
        <v>1676</v>
      </c>
      <c r="C6" s="11" t="s">
        <v>1677</v>
      </c>
      <c r="D6" s="11" t="s">
        <v>1679</v>
      </c>
      <c r="E6" s="11" t="s">
        <v>2251</v>
      </c>
      <c r="F6" s="11" t="s">
        <v>17</v>
      </c>
      <c r="G6" s="11" t="s">
        <v>2252</v>
      </c>
      <c r="H6" s="11" t="s">
        <v>55</v>
      </c>
      <c r="I6" s="35" t="s">
        <v>2253</v>
      </c>
      <c r="J6" s="12">
        <f>COUNTA('Team Wise'!D406:D408)</f>
        <v>3</v>
      </c>
      <c r="K6" s="12">
        <f>COUNTIF('Team Wise'!K406:K408,"Present")</f>
        <v>0</v>
      </c>
      <c r="L6" s="44"/>
    </row>
    <row r="7" spans="1:12" ht="62.5" x14ac:dyDescent="0.35">
      <c r="A7" s="22">
        <v>2</v>
      </c>
      <c r="B7" s="22" t="s">
        <v>1685</v>
      </c>
      <c r="C7" s="21" t="s">
        <v>1686</v>
      </c>
      <c r="D7" s="21" t="s">
        <v>1679</v>
      </c>
      <c r="E7" s="21" t="s">
        <v>2254</v>
      </c>
      <c r="F7" s="21" t="s">
        <v>17</v>
      </c>
      <c r="G7" s="21" t="s">
        <v>2255</v>
      </c>
      <c r="H7" s="21" t="s">
        <v>55</v>
      </c>
      <c r="I7" s="38" t="s">
        <v>2256</v>
      </c>
      <c r="J7" s="22">
        <f>COUNTA('Team Wise'!D409:D411)</f>
        <v>3</v>
      </c>
      <c r="K7" s="22">
        <f>COUNTIF('Team Wise'!K409:K411,"Present")</f>
        <v>0</v>
      </c>
      <c r="L7" s="44"/>
    </row>
    <row r="8" spans="1:12" ht="37.5" x14ac:dyDescent="0.35">
      <c r="A8" s="12">
        <v>3</v>
      </c>
      <c r="B8" s="12" t="s">
        <v>1694</v>
      </c>
      <c r="C8" s="11" t="s">
        <v>1695</v>
      </c>
      <c r="D8" s="11" t="s">
        <v>1679</v>
      </c>
      <c r="E8" s="11" t="s">
        <v>2257</v>
      </c>
      <c r="F8" s="11" t="s">
        <v>17</v>
      </c>
      <c r="G8" s="11" t="s">
        <v>37</v>
      </c>
      <c r="H8" s="11" t="s">
        <v>55</v>
      </c>
      <c r="I8" s="35" t="s">
        <v>2258</v>
      </c>
      <c r="J8" s="12">
        <f>COUNTA('Team Wise'!D412:D414)</f>
        <v>3</v>
      </c>
      <c r="K8" s="12">
        <f>COUNTIF('Team Wise'!K412:K414,"Present")</f>
        <v>0</v>
      </c>
      <c r="L8" s="44"/>
    </row>
    <row r="9" spans="1:12" ht="37.5" x14ac:dyDescent="0.35">
      <c r="A9" s="22">
        <v>4</v>
      </c>
      <c r="B9" s="22" t="s">
        <v>1702</v>
      </c>
      <c r="C9" s="21" t="s">
        <v>1703</v>
      </c>
      <c r="D9" s="21" t="s">
        <v>1679</v>
      </c>
      <c r="E9" s="21" t="s">
        <v>2259</v>
      </c>
      <c r="F9" s="21" t="s">
        <v>438</v>
      </c>
      <c r="G9" s="21" t="s">
        <v>324</v>
      </c>
      <c r="H9" s="21" t="s">
        <v>55</v>
      </c>
      <c r="I9" s="38" t="s">
        <v>2260</v>
      </c>
      <c r="J9" s="22">
        <f>COUNTA('Team Wise'!D415:D417)</f>
        <v>3</v>
      </c>
      <c r="K9" s="22">
        <f>COUNTIF('Team Wise'!K415:K417,"Present")</f>
        <v>0</v>
      </c>
      <c r="L9" s="44"/>
    </row>
    <row r="10" spans="1:12" ht="37.5" x14ac:dyDescent="0.35">
      <c r="A10" s="12">
        <v>5</v>
      </c>
      <c r="B10" s="12" t="s">
        <v>1710</v>
      </c>
      <c r="C10" s="11" t="s">
        <v>1711</v>
      </c>
      <c r="D10" s="11" t="s">
        <v>1679</v>
      </c>
      <c r="E10" s="11" t="s">
        <v>2261</v>
      </c>
      <c r="F10" s="11" t="s">
        <v>17</v>
      </c>
      <c r="G10" s="11" t="s">
        <v>30</v>
      </c>
      <c r="H10" s="11" t="s">
        <v>55</v>
      </c>
      <c r="I10" s="35" t="s">
        <v>2262</v>
      </c>
      <c r="J10" s="12">
        <f>COUNTA('Team Wise'!D418:D420)</f>
        <v>3</v>
      </c>
      <c r="K10" s="12">
        <f>COUNTIF('Team Wise'!K418:K420,"Present")</f>
        <v>0</v>
      </c>
      <c r="L10" s="44"/>
    </row>
    <row r="11" spans="1:12" ht="50" x14ac:dyDescent="0.35">
      <c r="A11" s="22">
        <v>6</v>
      </c>
      <c r="B11" s="22" t="s">
        <v>1718</v>
      </c>
      <c r="C11" s="21" t="s">
        <v>1719</v>
      </c>
      <c r="D11" s="21" t="s">
        <v>1679</v>
      </c>
      <c r="E11" s="21" t="s">
        <v>2263</v>
      </c>
      <c r="F11" s="21" t="s">
        <v>17</v>
      </c>
      <c r="G11" s="21" t="s">
        <v>2115</v>
      </c>
      <c r="H11" s="21" t="s">
        <v>31</v>
      </c>
      <c r="I11" s="38" t="s">
        <v>2264</v>
      </c>
      <c r="J11" s="22">
        <f>COUNTA('Team Wise'!D421:D423)</f>
        <v>3</v>
      </c>
      <c r="K11" s="22">
        <f>COUNTIF('Team Wise'!K421:K423,"Present")</f>
        <v>0</v>
      </c>
      <c r="L11" s="44"/>
    </row>
    <row r="12" spans="1:12" ht="62.5" x14ac:dyDescent="0.35">
      <c r="A12" s="12">
        <v>7</v>
      </c>
      <c r="B12" s="12" t="s">
        <v>1726</v>
      </c>
      <c r="C12" s="11" t="s">
        <v>1727</v>
      </c>
      <c r="D12" s="11" t="s">
        <v>1679</v>
      </c>
      <c r="E12" s="11" t="s">
        <v>2265</v>
      </c>
      <c r="F12" s="11" t="s">
        <v>17</v>
      </c>
      <c r="G12" s="11" t="s">
        <v>92</v>
      </c>
      <c r="H12" s="11" t="s">
        <v>31</v>
      </c>
      <c r="I12" s="35" t="s">
        <v>2266</v>
      </c>
      <c r="J12" s="12">
        <f>COUNTA('Team Wise'!D424:D426)</f>
        <v>3</v>
      </c>
      <c r="K12" s="12">
        <f>COUNTIF('Team Wise'!K424:K426,"Present")</f>
        <v>0</v>
      </c>
      <c r="L12" s="44"/>
    </row>
    <row r="13" spans="1:12" ht="37.5" x14ac:dyDescent="0.35">
      <c r="A13" s="22">
        <v>8</v>
      </c>
      <c r="B13" s="22" t="s">
        <v>1734</v>
      </c>
      <c r="C13" s="21" t="s">
        <v>1735</v>
      </c>
      <c r="D13" s="21" t="s">
        <v>1679</v>
      </c>
      <c r="E13" s="21" t="s">
        <v>2267</v>
      </c>
      <c r="F13" s="21" t="s">
        <v>17</v>
      </c>
      <c r="G13" s="21" t="s">
        <v>30</v>
      </c>
      <c r="H13" s="21" t="s">
        <v>55</v>
      </c>
      <c r="I13" s="38" t="s">
        <v>2268</v>
      </c>
      <c r="J13" s="22">
        <f>COUNTA('Team Wise'!D427:D429)</f>
        <v>3</v>
      </c>
      <c r="K13" s="22">
        <f>COUNTIF('Team Wise'!K427:K429,"Present")</f>
        <v>0</v>
      </c>
      <c r="L13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5069-D13F-40BA-9FC2-EB056C40F9A4}">
  <dimension ref="A5:L9"/>
  <sheetViews>
    <sheetView zoomScale="85" zoomScaleNormal="85" workbookViewId="0">
      <selection activeCell="N7" sqref="N7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62.5" x14ac:dyDescent="0.35">
      <c r="A6" s="12">
        <v>1</v>
      </c>
      <c r="B6" s="12" t="s">
        <v>1742</v>
      </c>
      <c r="C6" s="11" t="s">
        <v>1743</v>
      </c>
      <c r="D6" s="11" t="s">
        <v>1746</v>
      </c>
      <c r="E6" s="11" t="s">
        <v>2269</v>
      </c>
      <c r="F6" s="11" t="s">
        <v>2276</v>
      </c>
      <c r="G6" s="11" t="s">
        <v>2271</v>
      </c>
      <c r="H6" s="11" t="s">
        <v>2225</v>
      </c>
      <c r="I6" s="35" t="s">
        <v>2272</v>
      </c>
      <c r="J6" s="12">
        <f>COUNTA('Team Wise'!D422:D424)</f>
        <v>3</v>
      </c>
      <c r="K6" s="12"/>
      <c r="L6" s="44"/>
    </row>
    <row r="7" spans="1:12" ht="50" x14ac:dyDescent="0.35">
      <c r="A7" s="22">
        <v>2</v>
      </c>
      <c r="B7" s="22" t="s">
        <v>1751</v>
      </c>
      <c r="C7" s="21" t="s">
        <v>1752</v>
      </c>
      <c r="D7" s="21" t="s">
        <v>1746</v>
      </c>
      <c r="E7" s="21" t="s">
        <v>2273</v>
      </c>
      <c r="F7" s="21" t="s">
        <v>577</v>
      </c>
      <c r="G7" s="21" t="s">
        <v>92</v>
      </c>
      <c r="H7" s="21" t="s">
        <v>55</v>
      </c>
      <c r="I7" s="38" t="s">
        <v>2272</v>
      </c>
      <c r="J7" s="22">
        <f>COUNTA('Team Wise'!D425:D427)</f>
        <v>3</v>
      </c>
      <c r="K7" s="22"/>
      <c r="L7" s="44"/>
    </row>
    <row r="8" spans="1:12" ht="37.5" x14ac:dyDescent="0.35">
      <c r="A8" s="12">
        <v>3</v>
      </c>
      <c r="B8" s="12" t="s">
        <v>1756</v>
      </c>
      <c r="C8" s="11" t="s">
        <v>1757</v>
      </c>
      <c r="D8" s="11" t="s">
        <v>1746</v>
      </c>
      <c r="E8" s="11" t="s">
        <v>2274</v>
      </c>
      <c r="F8" s="11" t="s">
        <v>243</v>
      </c>
      <c r="G8" s="11" t="s">
        <v>92</v>
      </c>
      <c r="H8" s="11" t="s">
        <v>55</v>
      </c>
      <c r="I8" s="35" t="s">
        <v>2272</v>
      </c>
      <c r="J8" s="12">
        <f>COUNTA('Team Wise'!D428:D430)</f>
        <v>3</v>
      </c>
      <c r="K8" s="12"/>
      <c r="L8" s="44"/>
    </row>
    <row r="9" spans="1:12" ht="37.5" x14ac:dyDescent="0.35">
      <c r="A9" s="22">
        <v>4</v>
      </c>
      <c r="B9" s="22" t="s">
        <v>1761</v>
      </c>
      <c r="C9" s="21" t="s">
        <v>1762</v>
      </c>
      <c r="D9" s="21" t="s">
        <v>1746</v>
      </c>
      <c r="E9" s="21" t="s">
        <v>2275</v>
      </c>
      <c r="F9" s="21" t="s">
        <v>577</v>
      </c>
      <c r="G9" s="21" t="s">
        <v>92</v>
      </c>
      <c r="H9" s="21" t="s">
        <v>55</v>
      </c>
      <c r="I9" s="38" t="s">
        <v>2272</v>
      </c>
      <c r="J9" s="22">
        <f>COUNTA('Team Wise'!D431:D433)</f>
        <v>3</v>
      </c>
      <c r="K9" s="22"/>
      <c r="L9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E479-6862-468B-9B62-D559968649B4}">
  <dimension ref="A5:L17"/>
  <sheetViews>
    <sheetView topLeftCell="A13" zoomScale="85" zoomScaleNormal="85" workbookViewId="0">
      <selection activeCell="O7" sqref="O7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37.5" x14ac:dyDescent="0.35">
      <c r="A6" s="12">
        <v>1</v>
      </c>
      <c r="B6" s="12" t="s">
        <v>13</v>
      </c>
      <c r="C6" s="11" t="s">
        <v>14</v>
      </c>
      <c r="D6" s="11" t="s">
        <v>20</v>
      </c>
      <c r="E6" s="11" t="s">
        <v>1781</v>
      </c>
      <c r="F6" s="11" t="s">
        <v>17</v>
      </c>
      <c r="G6" s="11" t="s">
        <v>18</v>
      </c>
      <c r="H6" s="11" t="s">
        <v>19</v>
      </c>
      <c r="I6" s="35" t="s">
        <v>1782</v>
      </c>
      <c r="J6" s="41">
        <v>3</v>
      </c>
      <c r="K6" s="45"/>
      <c r="L6" s="44"/>
    </row>
    <row r="7" spans="1:12" ht="37.5" x14ac:dyDescent="0.35">
      <c r="A7" s="22">
        <v>2</v>
      </c>
      <c r="B7" s="22" t="s">
        <v>435</v>
      </c>
      <c r="C7" s="21" t="s">
        <v>436</v>
      </c>
      <c r="D7" s="21" t="s">
        <v>20</v>
      </c>
      <c r="E7" s="21" t="s">
        <v>1894</v>
      </c>
      <c r="F7" s="21" t="s">
        <v>438</v>
      </c>
      <c r="G7" s="21" t="s">
        <v>92</v>
      </c>
      <c r="H7" s="21" t="s">
        <v>19</v>
      </c>
      <c r="I7" s="38" t="s">
        <v>1895</v>
      </c>
      <c r="J7" s="42">
        <v>3</v>
      </c>
      <c r="K7" s="46"/>
      <c r="L7" s="44"/>
    </row>
    <row r="8" spans="1:12" ht="37.5" x14ac:dyDescent="0.35">
      <c r="A8" s="12">
        <v>3</v>
      </c>
      <c r="B8" s="12" t="s">
        <v>460</v>
      </c>
      <c r="C8" s="11" t="s">
        <v>461</v>
      </c>
      <c r="D8" s="11" t="s">
        <v>20</v>
      </c>
      <c r="E8" s="11" t="s">
        <v>1901</v>
      </c>
      <c r="F8" s="11" t="s">
        <v>17</v>
      </c>
      <c r="G8" s="11" t="s">
        <v>18</v>
      </c>
      <c r="H8" s="11" t="s">
        <v>19</v>
      </c>
      <c r="I8" s="35" t="s">
        <v>1902</v>
      </c>
      <c r="J8" s="41">
        <v>3</v>
      </c>
      <c r="K8" s="45"/>
      <c r="L8" s="44"/>
    </row>
    <row r="9" spans="1:12" ht="37.5" x14ac:dyDescent="0.35">
      <c r="A9" s="12">
        <v>4</v>
      </c>
      <c r="B9" s="22" t="s">
        <v>911</v>
      </c>
      <c r="C9" s="21" t="s">
        <v>912</v>
      </c>
      <c r="D9" s="21" t="s">
        <v>20</v>
      </c>
      <c r="E9" s="21" t="s">
        <v>2028</v>
      </c>
      <c r="F9" s="21" t="s">
        <v>914</v>
      </c>
      <c r="G9" s="21" t="s">
        <v>2029</v>
      </c>
      <c r="H9" s="21" t="s">
        <v>19</v>
      </c>
      <c r="I9" s="38" t="s">
        <v>2030</v>
      </c>
      <c r="J9" s="42">
        <v>3</v>
      </c>
      <c r="K9" s="46"/>
      <c r="L9" s="44"/>
    </row>
    <row r="10" spans="1:12" ht="37.5" x14ac:dyDescent="0.35">
      <c r="A10" s="22">
        <v>5</v>
      </c>
      <c r="B10" s="22" t="s">
        <v>1010</v>
      </c>
      <c r="C10" s="21" t="s">
        <v>1011</v>
      </c>
      <c r="D10" s="21" t="s">
        <v>20</v>
      </c>
      <c r="E10" s="21" t="s">
        <v>2056</v>
      </c>
      <c r="F10" s="21" t="s">
        <v>17</v>
      </c>
      <c r="G10" s="21" t="s">
        <v>300</v>
      </c>
      <c r="H10" s="21" t="s">
        <v>19</v>
      </c>
      <c r="I10" s="38" t="s">
        <v>2057</v>
      </c>
      <c r="J10" s="42">
        <v>3</v>
      </c>
      <c r="K10" s="44"/>
      <c r="L10" s="44"/>
    </row>
    <row r="11" spans="1:12" ht="37.5" x14ac:dyDescent="0.35">
      <c r="A11" s="12">
        <v>6</v>
      </c>
      <c r="B11" s="22" t="s">
        <v>1059</v>
      </c>
      <c r="C11" s="21" t="s">
        <v>1060</v>
      </c>
      <c r="D11" s="21" t="s">
        <v>20</v>
      </c>
      <c r="E11" s="21" t="s">
        <v>2070</v>
      </c>
      <c r="F11" s="21" t="s">
        <v>17</v>
      </c>
      <c r="G11" s="21" t="s">
        <v>18</v>
      </c>
      <c r="H11" s="21" t="s">
        <v>19</v>
      </c>
      <c r="I11" s="38" t="s">
        <v>2071</v>
      </c>
      <c r="J11" s="42">
        <v>3</v>
      </c>
      <c r="K11" s="44"/>
      <c r="L11" s="44"/>
    </row>
    <row r="12" spans="1:12" ht="50" x14ac:dyDescent="0.35">
      <c r="A12" s="12">
        <v>7</v>
      </c>
      <c r="B12" s="22" t="s">
        <v>1124</v>
      </c>
      <c r="C12" s="21" t="s">
        <v>1125</v>
      </c>
      <c r="D12" s="21" t="s">
        <v>20</v>
      </c>
      <c r="E12" s="21" t="s">
        <v>2090</v>
      </c>
      <c r="F12" s="21" t="s">
        <v>897</v>
      </c>
      <c r="G12" s="21" t="s">
        <v>92</v>
      </c>
      <c r="H12" s="21" t="s">
        <v>19</v>
      </c>
      <c r="I12" s="38" t="s">
        <v>2091</v>
      </c>
      <c r="J12" s="42">
        <v>3</v>
      </c>
      <c r="K12" s="44"/>
      <c r="L12" s="44"/>
    </row>
    <row r="13" spans="1:12" ht="62.5" x14ac:dyDescent="0.35">
      <c r="A13" s="22">
        <v>8</v>
      </c>
      <c r="B13" s="12" t="s">
        <v>1334</v>
      </c>
      <c r="C13" s="11" t="s">
        <v>1327</v>
      </c>
      <c r="D13" s="11" t="s">
        <v>20</v>
      </c>
      <c r="E13" s="11" t="s">
        <v>2148</v>
      </c>
      <c r="F13" s="11" t="s">
        <v>2149</v>
      </c>
      <c r="G13" s="11" t="s">
        <v>42</v>
      </c>
      <c r="H13" s="11" t="s">
        <v>19</v>
      </c>
      <c r="I13" s="35" t="s">
        <v>2150</v>
      </c>
      <c r="J13" s="41">
        <v>3</v>
      </c>
      <c r="K13" s="44"/>
      <c r="L13" s="44"/>
    </row>
    <row r="14" spans="1:12" ht="37.5" x14ac:dyDescent="0.35">
      <c r="A14" s="12">
        <v>9</v>
      </c>
      <c r="B14" s="12" t="s">
        <v>1348</v>
      </c>
      <c r="C14" s="11" t="s">
        <v>1349</v>
      </c>
      <c r="D14" s="11" t="s">
        <v>20</v>
      </c>
      <c r="E14" s="11" t="s">
        <v>2153</v>
      </c>
      <c r="F14" s="11" t="s">
        <v>17</v>
      </c>
      <c r="G14" s="11" t="s">
        <v>92</v>
      </c>
      <c r="H14" s="11" t="s">
        <v>19</v>
      </c>
      <c r="I14" s="35" t="s">
        <v>2154</v>
      </c>
      <c r="J14" s="41">
        <v>3</v>
      </c>
      <c r="K14" s="44"/>
      <c r="L14" s="44"/>
    </row>
    <row r="15" spans="1:12" ht="62.5" x14ac:dyDescent="0.35">
      <c r="A15" s="12">
        <v>10</v>
      </c>
      <c r="B15" s="22" t="s">
        <v>1420</v>
      </c>
      <c r="C15" s="21" t="s">
        <v>1421</v>
      </c>
      <c r="D15" s="21" t="s">
        <v>20</v>
      </c>
      <c r="E15" s="21" t="s">
        <v>2176</v>
      </c>
      <c r="F15" s="21" t="s">
        <v>438</v>
      </c>
      <c r="G15" s="21" t="s">
        <v>2177</v>
      </c>
      <c r="H15" s="21" t="s">
        <v>19</v>
      </c>
      <c r="I15" s="38" t="s">
        <v>2178</v>
      </c>
      <c r="J15" s="42">
        <v>3</v>
      </c>
      <c r="K15" s="44"/>
      <c r="L15" s="44"/>
    </row>
    <row r="16" spans="1:12" ht="37.5" x14ac:dyDescent="0.35">
      <c r="A16" s="22">
        <v>11</v>
      </c>
      <c r="B16" s="22" t="s">
        <v>1586</v>
      </c>
      <c r="C16" s="21" t="s">
        <v>1587</v>
      </c>
      <c r="D16" s="21" t="s">
        <v>1463</v>
      </c>
      <c r="E16" s="21" t="s">
        <v>2227</v>
      </c>
      <c r="F16" s="21" t="s">
        <v>438</v>
      </c>
      <c r="G16" s="21" t="s">
        <v>1811</v>
      </c>
      <c r="H16" s="21" t="s">
        <v>19</v>
      </c>
      <c r="I16" s="38" t="s">
        <v>2228</v>
      </c>
      <c r="J16" s="42">
        <v>3</v>
      </c>
      <c r="K16" s="44"/>
      <c r="L16" s="44"/>
    </row>
    <row r="17" spans="1:12" ht="37.5" x14ac:dyDescent="0.35">
      <c r="A17" s="12">
        <v>12</v>
      </c>
      <c r="B17" s="12" t="s">
        <v>1660</v>
      </c>
      <c r="C17" s="11" t="s">
        <v>1661</v>
      </c>
      <c r="D17" s="11" t="s">
        <v>1463</v>
      </c>
      <c r="E17" s="11" t="s">
        <v>2247</v>
      </c>
      <c r="F17" s="11" t="s">
        <v>438</v>
      </c>
      <c r="G17" s="11" t="s">
        <v>30</v>
      </c>
      <c r="H17" s="11" t="s">
        <v>19</v>
      </c>
      <c r="I17" s="35" t="s">
        <v>2248</v>
      </c>
      <c r="J17" s="41">
        <v>3</v>
      </c>
      <c r="K17" s="44"/>
      <c r="L17" s="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6F78-5CFA-4F82-8B5B-A525DEADB02C}">
  <dimension ref="A5:L88"/>
  <sheetViews>
    <sheetView tabSelected="1" zoomScale="85" zoomScaleNormal="85" workbookViewId="0">
      <selection activeCell="E100" sqref="E100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37.5" x14ac:dyDescent="0.35">
      <c r="A6" s="22">
        <v>1</v>
      </c>
      <c r="B6" s="22" t="s">
        <v>27</v>
      </c>
      <c r="C6" s="21" t="s">
        <v>28</v>
      </c>
      <c r="D6" s="21" t="s">
        <v>20</v>
      </c>
      <c r="E6" s="21" t="s">
        <v>1783</v>
      </c>
      <c r="F6" s="21" t="s">
        <v>17</v>
      </c>
      <c r="G6" s="21" t="s">
        <v>1784</v>
      </c>
      <c r="H6" s="21" t="s">
        <v>31</v>
      </c>
      <c r="I6" s="38" t="s">
        <v>1785</v>
      </c>
      <c r="J6" s="22">
        <v>3</v>
      </c>
      <c r="K6" s="22">
        <v>0</v>
      </c>
      <c r="L6" s="44"/>
    </row>
    <row r="7" spans="1:12" ht="37.5" x14ac:dyDescent="0.35">
      <c r="A7" s="12">
        <v>2</v>
      </c>
      <c r="B7" s="12" t="s">
        <v>39</v>
      </c>
      <c r="C7" s="11" t="s">
        <v>40</v>
      </c>
      <c r="D7" s="11" t="s">
        <v>20</v>
      </c>
      <c r="E7" s="11" t="s">
        <v>1786</v>
      </c>
      <c r="F7" s="11" t="s">
        <v>17</v>
      </c>
      <c r="G7" s="11" t="s">
        <v>42</v>
      </c>
      <c r="H7" s="11" t="s">
        <v>31</v>
      </c>
      <c r="I7" s="35" t="s">
        <v>1787</v>
      </c>
      <c r="J7" s="12">
        <v>3</v>
      </c>
      <c r="K7" s="12">
        <v>0</v>
      </c>
      <c r="L7" s="44"/>
    </row>
    <row r="8" spans="1:12" ht="37.5" x14ac:dyDescent="0.35">
      <c r="A8" s="22">
        <v>3</v>
      </c>
      <c r="B8" s="12" t="s">
        <v>57</v>
      </c>
      <c r="C8" s="11" t="s">
        <v>58</v>
      </c>
      <c r="D8" s="11" t="s">
        <v>20</v>
      </c>
      <c r="E8" s="11" t="s">
        <v>1792</v>
      </c>
      <c r="F8" s="11" t="s">
        <v>17</v>
      </c>
      <c r="G8" s="11" t="s">
        <v>18</v>
      </c>
      <c r="H8" s="11" t="s">
        <v>31</v>
      </c>
      <c r="I8" s="35" t="s">
        <v>1793</v>
      </c>
      <c r="J8" s="12">
        <v>3</v>
      </c>
      <c r="K8" s="12">
        <v>0</v>
      </c>
      <c r="L8" s="44"/>
    </row>
    <row r="9" spans="1:12" ht="37.5" x14ac:dyDescent="0.35">
      <c r="A9" s="12">
        <v>4</v>
      </c>
      <c r="B9" s="12" t="s">
        <v>73</v>
      </c>
      <c r="C9" s="11" t="s">
        <v>74</v>
      </c>
      <c r="D9" s="11" t="s">
        <v>20</v>
      </c>
      <c r="E9" s="11" t="s">
        <v>1797</v>
      </c>
      <c r="F9" s="11" t="s">
        <v>17</v>
      </c>
      <c r="G9" s="11" t="s">
        <v>30</v>
      </c>
      <c r="H9" s="11" t="s">
        <v>31</v>
      </c>
      <c r="I9" s="35" t="s">
        <v>1798</v>
      </c>
      <c r="J9" s="12">
        <v>3</v>
      </c>
      <c r="K9" s="12">
        <v>0</v>
      </c>
      <c r="L9" s="44"/>
    </row>
    <row r="10" spans="1:12" ht="37.5" x14ac:dyDescent="0.35">
      <c r="A10" s="22">
        <v>5</v>
      </c>
      <c r="B10" s="22" t="s">
        <v>98</v>
      </c>
      <c r="C10" s="21" t="s">
        <v>99</v>
      </c>
      <c r="D10" s="21" t="s">
        <v>20</v>
      </c>
      <c r="E10" s="21" t="s">
        <v>1804</v>
      </c>
      <c r="F10" s="21" t="s">
        <v>17</v>
      </c>
      <c r="G10" s="21" t="s">
        <v>42</v>
      </c>
      <c r="H10" s="21" t="s">
        <v>31</v>
      </c>
      <c r="I10" s="38" t="s">
        <v>1805</v>
      </c>
      <c r="J10" s="22">
        <v>3</v>
      </c>
      <c r="K10" s="22">
        <v>0</v>
      </c>
      <c r="L10" s="44"/>
    </row>
    <row r="11" spans="1:12" ht="37.5" x14ac:dyDescent="0.35">
      <c r="A11" s="12">
        <v>6</v>
      </c>
      <c r="B11" s="12" t="s">
        <v>106</v>
      </c>
      <c r="C11" s="11" t="s">
        <v>107</v>
      </c>
      <c r="D11" s="11" t="s">
        <v>20</v>
      </c>
      <c r="E11" s="11" t="s">
        <v>1806</v>
      </c>
      <c r="F11" s="11" t="s">
        <v>17</v>
      </c>
      <c r="G11" s="11" t="s">
        <v>92</v>
      </c>
      <c r="H11" s="11" t="s">
        <v>31</v>
      </c>
      <c r="I11" s="35" t="s">
        <v>1807</v>
      </c>
      <c r="J11" s="12">
        <v>3</v>
      </c>
      <c r="K11" s="12">
        <v>0</v>
      </c>
      <c r="L11" s="44"/>
    </row>
    <row r="12" spans="1:12" ht="37.5" x14ac:dyDescent="0.35">
      <c r="A12" s="22">
        <v>7</v>
      </c>
      <c r="B12" s="22" t="s">
        <v>114</v>
      </c>
      <c r="C12" s="21" t="s">
        <v>115</v>
      </c>
      <c r="D12" s="21" t="s">
        <v>20</v>
      </c>
      <c r="E12" s="21" t="s">
        <v>1808</v>
      </c>
      <c r="F12" s="21" t="s">
        <v>17</v>
      </c>
      <c r="G12" s="21" t="s">
        <v>42</v>
      </c>
      <c r="H12" s="21" t="s">
        <v>31</v>
      </c>
      <c r="I12" s="38" t="s">
        <v>1809</v>
      </c>
      <c r="J12" s="22">
        <v>3</v>
      </c>
      <c r="K12" s="22">
        <v>0</v>
      </c>
    </row>
    <row r="13" spans="1:12" ht="50" x14ac:dyDescent="0.35">
      <c r="A13" s="12">
        <v>8</v>
      </c>
      <c r="B13" s="22" t="s">
        <v>130</v>
      </c>
      <c r="C13" s="21" t="s">
        <v>131</v>
      </c>
      <c r="D13" s="21" t="s">
        <v>20</v>
      </c>
      <c r="E13" s="21" t="s">
        <v>1813</v>
      </c>
      <c r="F13" s="21" t="s">
        <v>1814</v>
      </c>
      <c r="G13" s="21" t="s">
        <v>1800</v>
      </c>
      <c r="H13" s="21" t="s">
        <v>31</v>
      </c>
      <c r="I13" s="38" t="s">
        <v>1815</v>
      </c>
      <c r="J13" s="22">
        <v>3</v>
      </c>
      <c r="K13" s="22">
        <v>0</v>
      </c>
    </row>
    <row r="14" spans="1:12" ht="37.5" x14ac:dyDescent="0.35">
      <c r="A14" s="22">
        <v>9</v>
      </c>
      <c r="B14" s="12" t="s">
        <v>140</v>
      </c>
      <c r="C14" s="11" t="s">
        <v>141</v>
      </c>
      <c r="D14" s="11" t="s">
        <v>20</v>
      </c>
      <c r="E14" s="11" t="s">
        <v>1816</v>
      </c>
      <c r="F14" s="11" t="s">
        <v>17</v>
      </c>
      <c r="G14" s="11" t="s">
        <v>92</v>
      </c>
      <c r="H14" s="11" t="s">
        <v>31</v>
      </c>
      <c r="I14" s="35" t="s">
        <v>1817</v>
      </c>
      <c r="J14" s="12">
        <v>3</v>
      </c>
      <c r="K14" s="12">
        <v>0</v>
      </c>
    </row>
    <row r="15" spans="1:12" ht="37.5" x14ac:dyDescent="0.35">
      <c r="A15" s="12">
        <v>10</v>
      </c>
      <c r="B15" s="12" t="s">
        <v>156</v>
      </c>
      <c r="C15" s="11" t="s">
        <v>157</v>
      </c>
      <c r="D15" s="11" t="s">
        <v>20</v>
      </c>
      <c r="E15" s="11" t="s">
        <v>1820</v>
      </c>
      <c r="F15" s="11" t="s">
        <v>17</v>
      </c>
      <c r="G15" s="11" t="s">
        <v>92</v>
      </c>
      <c r="H15" s="11" t="s">
        <v>31</v>
      </c>
      <c r="I15" s="35" t="s">
        <v>1821</v>
      </c>
      <c r="J15" s="12">
        <v>3</v>
      </c>
      <c r="K15" s="12">
        <v>0</v>
      </c>
    </row>
    <row r="16" spans="1:12" ht="50" x14ac:dyDescent="0.35">
      <c r="A16" s="22">
        <v>11</v>
      </c>
      <c r="B16" s="22" t="s">
        <v>164</v>
      </c>
      <c r="C16" s="21" t="s">
        <v>165</v>
      </c>
      <c r="D16" s="21" t="s">
        <v>20</v>
      </c>
      <c r="E16" s="21" t="s">
        <v>1822</v>
      </c>
      <c r="F16" s="21" t="s">
        <v>167</v>
      </c>
      <c r="G16" s="21" t="s">
        <v>1800</v>
      </c>
      <c r="H16" s="21" t="s">
        <v>31</v>
      </c>
      <c r="I16" s="38" t="s">
        <v>1823</v>
      </c>
      <c r="J16" s="22">
        <v>3</v>
      </c>
      <c r="K16" s="22">
        <v>0</v>
      </c>
    </row>
    <row r="17" spans="1:11" ht="37.5" x14ac:dyDescent="0.35">
      <c r="A17" s="12">
        <v>12</v>
      </c>
      <c r="B17" s="12" t="s">
        <v>173</v>
      </c>
      <c r="C17" s="11" t="s">
        <v>174</v>
      </c>
      <c r="D17" s="11" t="s">
        <v>20</v>
      </c>
      <c r="E17" s="11" t="s">
        <v>1824</v>
      </c>
      <c r="F17" s="11" t="s">
        <v>17</v>
      </c>
      <c r="G17" s="11" t="s">
        <v>92</v>
      </c>
      <c r="H17" s="11" t="s">
        <v>31</v>
      </c>
      <c r="I17" s="35" t="s">
        <v>1825</v>
      </c>
      <c r="J17" s="12">
        <v>3</v>
      </c>
      <c r="K17" s="12">
        <v>0</v>
      </c>
    </row>
    <row r="18" spans="1:11" ht="37.5" x14ac:dyDescent="0.35">
      <c r="A18" s="22">
        <v>13</v>
      </c>
      <c r="B18" s="22" t="s">
        <v>215</v>
      </c>
      <c r="C18" s="21" t="s">
        <v>216</v>
      </c>
      <c r="D18" s="21" t="s">
        <v>20</v>
      </c>
      <c r="E18" s="21" t="s">
        <v>1834</v>
      </c>
      <c r="F18" s="21" t="s">
        <v>218</v>
      </c>
      <c r="G18" s="21" t="s">
        <v>42</v>
      </c>
      <c r="H18" s="21" t="s">
        <v>31</v>
      </c>
      <c r="I18" s="38" t="s">
        <v>1835</v>
      </c>
      <c r="J18" s="22">
        <v>3</v>
      </c>
      <c r="K18" s="22">
        <v>0</v>
      </c>
    </row>
    <row r="19" spans="1:11" ht="37.5" x14ac:dyDescent="0.35">
      <c r="A19" s="12">
        <v>14</v>
      </c>
      <c r="B19" s="12" t="s">
        <v>224</v>
      </c>
      <c r="C19" s="11" t="s">
        <v>216</v>
      </c>
      <c r="D19" s="11" t="s">
        <v>20</v>
      </c>
      <c r="E19" s="11" t="s">
        <v>1836</v>
      </c>
      <c r="F19" s="11" t="s">
        <v>17</v>
      </c>
      <c r="G19" s="11" t="s">
        <v>42</v>
      </c>
      <c r="H19" s="11" t="s">
        <v>31</v>
      </c>
      <c r="I19" s="35" t="s">
        <v>1837</v>
      </c>
      <c r="J19" s="12">
        <v>3</v>
      </c>
      <c r="K19" s="12">
        <v>0</v>
      </c>
    </row>
    <row r="20" spans="1:11" ht="37.5" x14ac:dyDescent="0.35">
      <c r="A20" s="22">
        <v>15</v>
      </c>
      <c r="B20" s="12" t="s">
        <v>257</v>
      </c>
      <c r="C20" s="11" t="s">
        <v>258</v>
      </c>
      <c r="D20" s="11" t="s">
        <v>20</v>
      </c>
      <c r="E20" s="11" t="s">
        <v>1844</v>
      </c>
      <c r="F20" s="11" t="s">
        <v>17</v>
      </c>
      <c r="G20" s="11" t="s">
        <v>92</v>
      </c>
      <c r="H20" s="11" t="s">
        <v>31</v>
      </c>
      <c r="I20" s="35" t="s">
        <v>1845</v>
      </c>
      <c r="J20" s="12">
        <v>3</v>
      </c>
      <c r="K20" s="12">
        <v>0</v>
      </c>
    </row>
    <row r="21" spans="1:11" ht="37.5" x14ac:dyDescent="0.35">
      <c r="A21" s="12">
        <v>16</v>
      </c>
      <c r="B21" s="22" t="s">
        <v>265</v>
      </c>
      <c r="C21" s="21" t="s">
        <v>266</v>
      </c>
      <c r="D21" s="21" t="s">
        <v>20</v>
      </c>
      <c r="E21" s="21" t="s">
        <v>1846</v>
      </c>
      <c r="F21" s="21" t="s">
        <v>17</v>
      </c>
      <c r="G21" s="21" t="s">
        <v>30</v>
      </c>
      <c r="H21" s="21" t="s">
        <v>31</v>
      </c>
      <c r="I21" s="38" t="s">
        <v>1847</v>
      </c>
      <c r="J21" s="22">
        <v>3</v>
      </c>
      <c r="K21" s="22">
        <v>0</v>
      </c>
    </row>
    <row r="22" spans="1:11" ht="37.5" x14ac:dyDescent="0.35">
      <c r="A22" s="22">
        <v>17</v>
      </c>
      <c r="B22" s="22" t="s">
        <v>302</v>
      </c>
      <c r="C22" s="21" t="s">
        <v>303</v>
      </c>
      <c r="D22" s="21" t="s">
        <v>20</v>
      </c>
      <c r="E22" s="21" t="s">
        <v>1857</v>
      </c>
      <c r="F22" s="21" t="s">
        <v>17</v>
      </c>
      <c r="G22" s="21" t="s">
        <v>92</v>
      </c>
      <c r="H22" s="21" t="s">
        <v>31</v>
      </c>
      <c r="I22" s="38" t="s">
        <v>1858</v>
      </c>
      <c r="J22" s="22">
        <v>3</v>
      </c>
      <c r="K22" s="22">
        <v>0</v>
      </c>
    </row>
    <row r="23" spans="1:11" ht="37.5" x14ac:dyDescent="0.35">
      <c r="A23" s="12">
        <v>18</v>
      </c>
      <c r="B23" s="12" t="s">
        <v>328</v>
      </c>
      <c r="C23" s="11" t="s">
        <v>329</v>
      </c>
      <c r="D23" s="11" t="s">
        <v>20</v>
      </c>
      <c r="E23" s="11" t="s">
        <v>1865</v>
      </c>
      <c r="F23" s="11" t="s">
        <v>17</v>
      </c>
      <c r="G23" s="11" t="s">
        <v>92</v>
      </c>
      <c r="H23" s="11" t="s">
        <v>31</v>
      </c>
      <c r="I23" s="35" t="s">
        <v>1866</v>
      </c>
      <c r="J23" s="12">
        <v>3</v>
      </c>
      <c r="K23" s="12">
        <v>0</v>
      </c>
    </row>
    <row r="24" spans="1:11" ht="75" x14ac:dyDescent="0.35">
      <c r="A24" s="22">
        <v>19</v>
      </c>
      <c r="B24" s="12" t="s">
        <v>360</v>
      </c>
      <c r="C24" s="11" t="s">
        <v>361</v>
      </c>
      <c r="D24" s="11" t="s">
        <v>20</v>
      </c>
      <c r="E24" s="11" t="s">
        <v>1874</v>
      </c>
      <c r="F24" s="11" t="s">
        <v>17</v>
      </c>
      <c r="G24" s="11" t="s">
        <v>42</v>
      </c>
      <c r="H24" s="11" t="s">
        <v>31</v>
      </c>
      <c r="I24" s="35" t="s">
        <v>1875</v>
      </c>
      <c r="J24" s="12">
        <v>3</v>
      </c>
      <c r="K24" s="12">
        <v>0</v>
      </c>
    </row>
    <row r="25" spans="1:11" ht="37.5" x14ac:dyDescent="0.35">
      <c r="A25" s="12">
        <v>20</v>
      </c>
      <c r="B25" s="22" t="s">
        <v>368</v>
      </c>
      <c r="C25" s="21" t="s">
        <v>369</v>
      </c>
      <c r="D25" s="21" t="s">
        <v>20</v>
      </c>
      <c r="E25" s="21" t="s">
        <v>1876</v>
      </c>
      <c r="F25" s="21" t="s">
        <v>371</v>
      </c>
      <c r="G25" s="21" t="s">
        <v>92</v>
      </c>
      <c r="H25" s="21" t="s">
        <v>31</v>
      </c>
      <c r="I25" s="38" t="s">
        <v>1877</v>
      </c>
      <c r="J25" s="22">
        <v>3</v>
      </c>
      <c r="K25" s="22">
        <v>0</v>
      </c>
    </row>
    <row r="26" spans="1:11" ht="37.5" x14ac:dyDescent="0.35">
      <c r="A26" s="22">
        <v>21</v>
      </c>
      <c r="B26" s="12" t="s">
        <v>377</v>
      </c>
      <c r="C26" s="11" t="s">
        <v>378</v>
      </c>
      <c r="D26" s="11" t="s">
        <v>20</v>
      </c>
      <c r="E26" s="11" t="s">
        <v>1878</v>
      </c>
      <c r="F26" s="11" t="s">
        <v>380</v>
      </c>
      <c r="G26" s="11" t="s">
        <v>30</v>
      </c>
      <c r="H26" s="11" t="s">
        <v>31</v>
      </c>
      <c r="I26" s="35" t="s">
        <v>1879</v>
      </c>
      <c r="J26" s="12">
        <v>3</v>
      </c>
      <c r="K26" s="12">
        <v>0</v>
      </c>
    </row>
    <row r="27" spans="1:11" ht="50" x14ac:dyDescent="0.35">
      <c r="A27" s="12">
        <v>22</v>
      </c>
      <c r="B27" s="12" t="s">
        <v>394</v>
      </c>
      <c r="C27" s="11" t="s">
        <v>395</v>
      </c>
      <c r="D27" s="11" t="s">
        <v>20</v>
      </c>
      <c r="E27" s="11" t="s">
        <v>1882</v>
      </c>
      <c r="F27" s="11" t="s">
        <v>371</v>
      </c>
      <c r="G27" s="11" t="s">
        <v>92</v>
      </c>
      <c r="H27" s="11" t="s">
        <v>31</v>
      </c>
      <c r="I27" s="35" t="s">
        <v>1883</v>
      </c>
      <c r="J27" s="12">
        <v>3</v>
      </c>
      <c r="K27" s="12">
        <v>0</v>
      </c>
    </row>
    <row r="28" spans="1:11" ht="37.5" x14ac:dyDescent="0.35">
      <c r="A28" s="22">
        <v>23</v>
      </c>
      <c r="B28" s="22" t="s">
        <v>402</v>
      </c>
      <c r="C28" s="21" t="s">
        <v>403</v>
      </c>
      <c r="D28" s="21" t="s">
        <v>20</v>
      </c>
      <c r="E28" s="21" t="s">
        <v>1884</v>
      </c>
      <c r="F28" s="21" t="s">
        <v>17</v>
      </c>
      <c r="G28" s="21" t="s">
        <v>30</v>
      </c>
      <c r="H28" s="21" t="s">
        <v>31</v>
      </c>
      <c r="I28" s="38" t="s">
        <v>1885</v>
      </c>
      <c r="J28" s="22">
        <v>3</v>
      </c>
      <c r="K28" s="22">
        <v>0</v>
      </c>
    </row>
    <row r="29" spans="1:11" ht="75" x14ac:dyDescent="0.35">
      <c r="A29" s="12">
        <v>24</v>
      </c>
      <c r="B29" s="12" t="s">
        <v>410</v>
      </c>
      <c r="C29" s="11" t="s">
        <v>411</v>
      </c>
      <c r="D29" s="11" t="s">
        <v>20</v>
      </c>
      <c r="E29" s="11" t="s">
        <v>1886</v>
      </c>
      <c r="F29" s="11" t="s">
        <v>1887</v>
      </c>
      <c r="G29" s="11" t="s">
        <v>1888</v>
      </c>
      <c r="H29" s="11" t="s">
        <v>31</v>
      </c>
      <c r="I29" s="35" t="s">
        <v>1889</v>
      </c>
      <c r="J29" s="12">
        <v>3</v>
      </c>
      <c r="K29" s="12">
        <v>0</v>
      </c>
    </row>
    <row r="30" spans="1:11" ht="37.5" x14ac:dyDescent="0.35">
      <c r="A30" s="22">
        <v>25</v>
      </c>
      <c r="B30" s="12" t="s">
        <v>444</v>
      </c>
      <c r="C30" s="11" t="s">
        <v>445</v>
      </c>
      <c r="D30" s="11" t="s">
        <v>20</v>
      </c>
      <c r="E30" s="11" t="s">
        <v>1896</v>
      </c>
      <c r="F30" s="11" t="s">
        <v>17</v>
      </c>
      <c r="G30" s="11" t="s">
        <v>42</v>
      </c>
      <c r="H30" s="11" t="s">
        <v>31</v>
      </c>
      <c r="I30" s="35" t="s">
        <v>1897</v>
      </c>
      <c r="J30" s="12">
        <v>3</v>
      </c>
      <c r="K30" s="12">
        <v>0</v>
      </c>
    </row>
    <row r="31" spans="1:11" ht="50" x14ac:dyDescent="0.35">
      <c r="A31" s="12">
        <v>26</v>
      </c>
      <c r="B31" s="22" t="s">
        <v>452</v>
      </c>
      <c r="C31" s="21" t="s">
        <v>453</v>
      </c>
      <c r="D31" s="21" t="s">
        <v>20</v>
      </c>
      <c r="E31" s="21" t="s">
        <v>1898</v>
      </c>
      <c r="F31" s="21" t="s">
        <v>17</v>
      </c>
      <c r="G31" s="21" t="s">
        <v>1899</v>
      </c>
      <c r="H31" s="21" t="s">
        <v>31</v>
      </c>
      <c r="I31" s="38" t="s">
        <v>1900</v>
      </c>
      <c r="J31" s="22">
        <v>3</v>
      </c>
      <c r="K31" s="22">
        <v>0</v>
      </c>
    </row>
    <row r="32" spans="1:11" ht="37.5" x14ac:dyDescent="0.35">
      <c r="A32" s="22">
        <v>27</v>
      </c>
      <c r="B32" s="22" t="s">
        <v>484</v>
      </c>
      <c r="C32" s="21" t="s">
        <v>485</v>
      </c>
      <c r="D32" s="21" t="s">
        <v>20</v>
      </c>
      <c r="E32" s="21" t="s">
        <v>1908</v>
      </c>
      <c r="F32" s="21" t="s">
        <v>284</v>
      </c>
      <c r="G32" s="21" t="s">
        <v>92</v>
      </c>
      <c r="H32" s="21" t="s">
        <v>31</v>
      </c>
      <c r="I32" s="38" t="s">
        <v>1909</v>
      </c>
      <c r="J32" s="22">
        <v>3</v>
      </c>
      <c r="K32" s="22">
        <v>0</v>
      </c>
    </row>
    <row r="33" spans="1:11" ht="37.5" x14ac:dyDescent="0.35">
      <c r="A33" s="12">
        <v>28</v>
      </c>
      <c r="B33" s="12" t="s">
        <v>526</v>
      </c>
      <c r="C33" s="11" t="s">
        <v>527</v>
      </c>
      <c r="D33" s="11" t="s">
        <v>20</v>
      </c>
      <c r="E33" s="11" t="s">
        <v>1921</v>
      </c>
      <c r="F33" s="11" t="s">
        <v>167</v>
      </c>
      <c r="G33" s="11" t="s">
        <v>30</v>
      </c>
      <c r="H33" s="11" t="s">
        <v>31</v>
      </c>
      <c r="I33" s="35" t="s">
        <v>1922</v>
      </c>
      <c r="J33" s="12">
        <v>3</v>
      </c>
      <c r="K33" s="12">
        <v>0</v>
      </c>
    </row>
    <row r="34" spans="1:11" ht="37.5" x14ac:dyDescent="0.35">
      <c r="A34" s="22">
        <v>29</v>
      </c>
      <c r="B34" s="22" t="s">
        <v>534</v>
      </c>
      <c r="C34" s="21" t="s">
        <v>535</v>
      </c>
      <c r="D34" s="21" t="s">
        <v>20</v>
      </c>
      <c r="E34" s="21" t="s">
        <v>1923</v>
      </c>
      <c r="F34" s="21" t="s">
        <v>17</v>
      </c>
      <c r="G34" s="21" t="s">
        <v>92</v>
      </c>
      <c r="H34" s="21" t="s">
        <v>31</v>
      </c>
      <c r="I34" s="38" t="s">
        <v>1924</v>
      </c>
      <c r="J34" s="22">
        <v>3</v>
      </c>
      <c r="K34" s="22">
        <v>0</v>
      </c>
    </row>
    <row r="35" spans="1:11" ht="37.5" x14ac:dyDescent="0.35">
      <c r="A35" s="12">
        <v>30</v>
      </c>
      <c r="B35" s="12" t="s">
        <v>542</v>
      </c>
      <c r="C35" s="11" t="s">
        <v>543</v>
      </c>
      <c r="D35" s="11" t="s">
        <v>20</v>
      </c>
      <c r="E35" s="11" t="s">
        <v>1925</v>
      </c>
      <c r="F35" s="11" t="s">
        <v>17</v>
      </c>
      <c r="G35" s="11" t="s">
        <v>42</v>
      </c>
      <c r="H35" s="11" t="s">
        <v>31</v>
      </c>
      <c r="I35" s="35" t="s">
        <v>1926</v>
      </c>
      <c r="J35" s="12">
        <v>3</v>
      </c>
      <c r="K35" s="12">
        <v>0</v>
      </c>
    </row>
    <row r="36" spans="1:11" ht="37.5" x14ac:dyDescent="0.35">
      <c r="A36" s="22">
        <v>31</v>
      </c>
      <c r="B36" s="22" t="s">
        <v>550</v>
      </c>
      <c r="C36" s="21" t="s">
        <v>551</v>
      </c>
      <c r="D36" s="21" t="s">
        <v>20</v>
      </c>
      <c r="E36" s="21" t="s">
        <v>1927</v>
      </c>
      <c r="F36" s="21" t="s">
        <v>553</v>
      </c>
      <c r="G36" s="21" t="s">
        <v>92</v>
      </c>
      <c r="H36" s="21" t="s">
        <v>31</v>
      </c>
      <c r="I36" s="38" t="s">
        <v>1928</v>
      </c>
      <c r="J36" s="22">
        <v>3</v>
      </c>
      <c r="K36" s="22">
        <v>0</v>
      </c>
    </row>
    <row r="37" spans="1:11" ht="37.5" x14ac:dyDescent="0.35">
      <c r="A37" s="12">
        <v>32</v>
      </c>
      <c r="B37" s="12" t="s">
        <v>559</v>
      </c>
      <c r="C37" s="11" t="s">
        <v>560</v>
      </c>
      <c r="D37" s="11" t="s">
        <v>20</v>
      </c>
      <c r="E37" s="11" t="s">
        <v>1929</v>
      </c>
      <c r="F37" s="11" t="s">
        <v>17</v>
      </c>
      <c r="G37" s="11" t="s">
        <v>92</v>
      </c>
      <c r="H37" s="11" t="s">
        <v>31</v>
      </c>
      <c r="I37" s="35" t="s">
        <v>1930</v>
      </c>
      <c r="J37" s="12">
        <v>3</v>
      </c>
      <c r="K37" s="12">
        <v>0</v>
      </c>
    </row>
    <row r="38" spans="1:11" ht="37.5" x14ac:dyDescent="0.35">
      <c r="A38" s="22">
        <v>33</v>
      </c>
      <c r="B38" s="22" t="s">
        <v>567</v>
      </c>
      <c r="C38" s="21" t="s">
        <v>560</v>
      </c>
      <c r="D38" s="21" t="s">
        <v>20</v>
      </c>
      <c r="E38" s="21" t="s">
        <v>1931</v>
      </c>
      <c r="F38" s="21" t="s">
        <v>17</v>
      </c>
      <c r="G38" s="21" t="s">
        <v>42</v>
      </c>
      <c r="H38" s="21" t="s">
        <v>31</v>
      </c>
      <c r="I38" s="38" t="s">
        <v>1932</v>
      </c>
      <c r="J38" s="22">
        <v>3</v>
      </c>
      <c r="K38" s="22">
        <v>0</v>
      </c>
    </row>
    <row r="39" spans="1:11" ht="50" x14ac:dyDescent="0.35">
      <c r="A39" s="12">
        <v>34</v>
      </c>
      <c r="B39" s="12" t="s">
        <v>643</v>
      </c>
      <c r="C39" s="11" t="s">
        <v>644</v>
      </c>
      <c r="D39" s="11" t="s">
        <v>20</v>
      </c>
      <c r="E39" s="11" t="s">
        <v>1951</v>
      </c>
      <c r="F39" s="11" t="s">
        <v>17</v>
      </c>
      <c r="G39" s="11" t="s">
        <v>30</v>
      </c>
      <c r="H39" s="11" t="s">
        <v>31</v>
      </c>
      <c r="I39" s="35" t="s">
        <v>1952</v>
      </c>
      <c r="J39" s="12">
        <v>3</v>
      </c>
      <c r="K39" s="12">
        <v>0</v>
      </c>
    </row>
    <row r="40" spans="1:11" ht="50" x14ac:dyDescent="0.35">
      <c r="A40" s="22">
        <v>35</v>
      </c>
      <c r="B40" s="22" t="s">
        <v>651</v>
      </c>
      <c r="C40" s="21" t="s">
        <v>652</v>
      </c>
      <c r="D40" s="21" t="s">
        <v>20</v>
      </c>
      <c r="E40" s="21" t="s">
        <v>1953</v>
      </c>
      <c r="F40" s="21" t="s">
        <v>17</v>
      </c>
      <c r="G40" s="21" t="s">
        <v>42</v>
      </c>
      <c r="H40" s="21" t="s">
        <v>31</v>
      </c>
      <c r="I40" s="38" t="s">
        <v>1954</v>
      </c>
      <c r="J40" s="22">
        <v>3</v>
      </c>
      <c r="K40" s="22">
        <v>0</v>
      </c>
    </row>
    <row r="41" spans="1:11" ht="37.5" x14ac:dyDescent="0.35">
      <c r="A41" s="12">
        <v>36</v>
      </c>
      <c r="B41" s="22" t="s">
        <v>667</v>
      </c>
      <c r="C41" s="21" t="s">
        <v>668</v>
      </c>
      <c r="D41" s="21" t="s">
        <v>20</v>
      </c>
      <c r="E41" s="21" t="s">
        <v>1957</v>
      </c>
      <c r="F41" s="21" t="s">
        <v>17</v>
      </c>
      <c r="G41" s="21" t="s">
        <v>42</v>
      </c>
      <c r="H41" s="21" t="s">
        <v>31</v>
      </c>
      <c r="I41" s="38" t="s">
        <v>1958</v>
      </c>
      <c r="J41" s="22">
        <v>3</v>
      </c>
      <c r="K41" s="22">
        <v>0</v>
      </c>
    </row>
    <row r="42" spans="1:11" ht="37.5" x14ac:dyDescent="0.35">
      <c r="A42" s="22">
        <v>37</v>
      </c>
      <c r="B42" s="12" t="s">
        <v>726</v>
      </c>
      <c r="C42" s="11" t="s">
        <v>727</v>
      </c>
      <c r="D42" s="11" t="s">
        <v>20</v>
      </c>
      <c r="E42" s="11" t="s">
        <v>1974</v>
      </c>
      <c r="F42" s="11" t="s">
        <v>17</v>
      </c>
      <c r="G42" s="11" t="s">
        <v>18</v>
      </c>
      <c r="H42" s="11" t="s">
        <v>31</v>
      </c>
      <c r="I42" s="35" t="s">
        <v>1975</v>
      </c>
      <c r="J42" s="12">
        <v>3</v>
      </c>
      <c r="K42" s="12">
        <v>0</v>
      </c>
    </row>
    <row r="43" spans="1:11" ht="37.5" x14ac:dyDescent="0.35">
      <c r="A43" s="12">
        <v>38</v>
      </c>
      <c r="B43" s="22" t="s">
        <v>734</v>
      </c>
      <c r="C43" s="21" t="s">
        <v>735</v>
      </c>
      <c r="D43" s="21" t="s">
        <v>20</v>
      </c>
      <c r="E43" s="21" t="s">
        <v>1976</v>
      </c>
      <c r="F43" s="21" t="s">
        <v>167</v>
      </c>
      <c r="G43" s="21" t="s">
        <v>92</v>
      </c>
      <c r="H43" s="21" t="s">
        <v>31</v>
      </c>
      <c r="I43" s="38" t="s">
        <v>1977</v>
      </c>
      <c r="J43" s="22">
        <v>3</v>
      </c>
      <c r="K43" s="22">
        <v>0</v>
      </c>
    </row>
    <row r="44" spans="1:11" ht="37.5" x14ac:dyDescent="0.35">
      <c r="A44" s="22">
        <v>39</v>
      </c>
      <c r="B44" s="12" t="s">
        <v>742</v>
      </c>
      <c r="C44" s="11" t="s">
        <v>743</v>
      </c>
      <c r="D44" s="11" t="s">
        <v>20</v>
      </c>
      <c r="E44" s="11" t="s">
        <v>1978</v>
      </c>
      <c r="F44" s="11" t="s">
        <v>17</v>
      </c>
      <c r="G44" s="11" t="s">
        <v>92</v>
      </c>
      <c r="H44" s="11" t="s">
        <v>31</v>
      </c>
      <c r="I44" s="35" t="s">
        <v>1979</v>
      </c>
      <c r="J44" s="12">
        <v>3</v>
      </c>
      <c r="K44" s="12">
        <v>0</v>
      </c>
    </row>
    <row r="45" spans="1:11" ht="37.5" x14ac:dyDescent="0.35">
      <c r="A45" s="12">
        <v>40</v>
      </c>
      <c r="B45" s="22" t="s">
        <v>750</v>
      </c>
      <c r="C45" s="21" t="s">
        <v>751</v>
      </c>
      <c r="D45" s="21" t="s">
        <v>20</v>
      </c>
      <c r="E45" s="21" t="s">
        <v>1980</v>
      </c>
      <c r="F45" s="21" t="s">
        <v>17</v>
      </c>
      <c r="G45" s="21" t="s">
        <v>42</v>
      </c>
      <c r="H45" s="21" t="s">
        <v>31</v>
      </c>
      <c r="I45" s="38" t="s">
        <v>1981</v>
      </c>
      <c r="J45" s="22">
        <v>3</v>
      </c>
      <c r="K45" s="22">
        <v>0</v>
      </c>
    </row>
    <row r="46" spans="1:11" ht="37.5" x14ac:dyDescent="0.35">
      <c r="A46" s="22">
        <v>41</v>
      </c>
      <c r="B46" s="12" t="s">
        <v>758</v>
      </c>
      <c r="C46" s="11" t="s">
        <v>759</v>
      </c>
      <c r="D46" s="11" t="s">
        <v>20</v>
      </c>
      <c r="E46" s="11" t="s">
        <v>1982</v>
      </c>
      <c r="F46" s="11" t="s">
        <v>1983</v>
      </c>
      <c r="G46" s="11" t="s">
        <v>1984</v>
      </c>
      <c r="H46" s="11" t="s">
        <v>31</v>
      </c>
      <c r="I46" s="35" t="s">
        <v>1985</v>
      </c>
      <c r="J46" s="12">
        <v>3</v>
      </c>
      <c r="K46" s="12">
        <v>0</v>
      </c>
    </row>
    <row r="47" spans="1:11" ht="37.5" x14ac:dyDescent="0.35">
      <c r="A47" s="12">
        <v>42</v>
      </c>
      <c r="B47" s="22" t="s">
        <v>770</v>
      </c>
      <c r="C47" s="21" t="s">
        <v>759</v>
      </c>
      <c r="D47" s="21" t="s">
        <v>20</v>
      </c>
      <c r="E47" s="21" t="s">
        <v>1986</v>
      </c>
      <c r="F47" s="21" t="s">
        <v>17</v>
      </c>
      <c r="G47" s="21" t="s">
        <v>42</v>
      </c>
      <c r="H47" s="21" t="s">
        <v>31</v>
      </c>
      <c r="I47" s="38" t="s">
        <v>1987</v>
      </c>
      <c r="J47" s="22">
        <v>3</v>
      </c>
      <c r="K47" s="22">
        <v>0</v>
      </c>
    </row>
    <row r="48" spans="1:11" ht="37.5" x14ac:dyDescent="0.35">
      <c r="A48" s="22">
        <v>43</v>
      </c>
      <c r="B48" s="12" t="s">
        <v>792</v>
      </c>
      <c r="C48" s="11" t="s">
        <v>793</v>
      </c>
      <c r="D48" s="11" t="s">
        <v>20</v>
      </c>
      <c r="E48" s="11" t="s">
        <v>1992</v>
      </c>
      <c r="F48" s="11" t="s">
        <v>17</v>
      </c>
      <c r="G48" s="11" t="s">
        <v>42</v>
      </c>
      <c r="H48" s="11" t="s">
        <v>31</v>
      </c>
      <c r="I48" s="35" t="s">
        <v>1993</v>
      </c>
      <c r="J48" s="12">
        <v>3</v>
      </c>
      <c r="K48" s="12">
        <v>0</v>
      </c>
    </row>
    <row r="49" spans="1:11" ht="37.5" x14ac:dyDescent="0.35">
      <c r="A49" s="12">
        <v>44</v>
      </c>
      <c r="B49" s="12" t="s">
        <v>808</v>
      </c>
      <c r="C49" s="11" t="s">
        <v>801</v>
      </c>
      <c r="D49" s="11" t="s">
        <v>20</v>
      </c>
      <c r="E49" s="11" t="s">
        <v>1996</v>
      </c>
      <c r="F49" s="11" t="s">
        <v>17</v>
      </c>
      <c r="G49" s="11" t="s">
        <v>30</v>
      </c>
      <c r="H49" s="11" t="s">
        <v>31</v>
      </c>
      <c r="I49" s="35" t="s">
        <v>1997</v>
      </c>
      <c r="J49" s="12">
        <v>3</v>
      </c>
      <c r="K49" s="12">
        <v>0</v>
      </c>
    </row>
    <row r="50" spans="1:11" ht="37.5" x14ac:dyDescent="0.35">
      <c r="A50" s="22">
        <v>45</v>
      </c>
      <c r="B50" s="12" t="s">
        <v>822</v>
      </c>
      <c r="C50" s="11" t="s">
        <v>823</v>
      </c>
      <c r="D50" s="11" t="s">
        <v>20</v>
      </c>
      <c r="E50" s="11" t="s">
        <v>2000</v>
      </c>
      <c r="F50" s="11" t="s">
        <v>17</v>
      </c>
      <c r="G50" s="11" t="s">
        <v>18</v>
      </c>
      <c r="H50" s="11" t="s">
        <v>31</v>
      </c>
      <c r="I50" s="35" t="s">
        <v>2001</v>
      </c>
      <c r="J50" s="12">
        <v>3</v>
      </c>
      <c r="K50" s="12">
        <v>0</v>
      </c>
    </row>
    <row r="51" spans="1:11" ht="50" x14ac:dyDescent="0.35">
      <c r="A51" s="12">
        <v>46</v>
      </c>
      <c r="B51" s="22" t="s">
        <v>830</v>
      </c>
      <c r="C51" s="21" t="s">
        <v>831</v>
      </c>
      <c r="D51" s="21" t="s">
        <v>20</v>
      </c>
      <c r="E51" s="21" t="s">
        <v>2002</v>
      </c>
      <c r="F51" s="21" t="s">
        <v>17</v>
      </c>
      <c r="G51" s="21" t="s">
        <v>1800</v>
      </c>
      <c r="H51" s="21" t="s">
        <v>31</v>
      </c>
      <c r="I51" s="38" t="s">
        <v>2003</v>
      </c>
      <c r="J51" s="22">
        <v>3</v>
      </c>
      <c r="K51" s="22">
        <v>0</v>
      </c>
    </row>
    <row r="52" spans="1:11" ht="62.5" x14ac:dyDescent="0.35">
      <c r="A52" s="22">
        <v>47</v>
      </c>
      <c r="B52" s="12" t="s">
        <v>838</v>
      </c>
      <c r="C52" s="11" t="s">
        <v>839</v>
      </c>
      <c r="D52" s="11" t="s">
        <v>20</v>
      </c>
      <c r="E52" s="11" t="s">
        <v>2004</v>
      </c>
      <c r="F52" s="11" t="s">
        <v>17</v>
      </c>
      <c r="G52" s="11" t="s">
        <v>2005</v>
      </c>
      <c r="H52" s="11" t="s">
        <v>31</v>
      </c>
      <c r="I52" s="35" t="s">
        <v>2006</v>
      </c>
      <c r="J52" s="12">
        <v>3</v>
      </c>
      <c r="K52" s="12">
        <v>0</v>
      </c>
    </row>
    <row r="53" spans="1:11" ht="37.5" x14ac:dyDescent="0.35">
      <c r="A53" s="12">
        <v>48</v>
      </c>
      <c r="B53" s="22" t="s">
        <v>846</v>
      </c>
      <c r="C53" s="21" t="s">
        <v>847</v>
      </c>
      <c r="D53" s="21" t="s">
        <v>20</v>
      </c>
      <c r="E53" s="21" t="s">
        <v>2007</v>
      </c>
      <c r="F53" s="21" t="s">
        <v>17</v>
      </c>
      <c r="G53" s="21" t="s">
        <v>42</v>
      </c>
      <c r="H53" s="21" t="s">
        <v>31</v>
      </c>
      <c r="I53" s="38" t="s">
        <v>2008</v>
      </c>
      <c r="J53" s="22">
        <v>3</v>
      </c>
      <c r="K53" s="22">
        <v>0</v>
      </c>
    </row>
    <row r="54" spans="1:11" ht="37.5" x14ac:dyDescent="0.35">
      <c r="A54" s="22">
        <v>49</v>
      </c>
      <c r="B54" s="22" t="s">
        <v>928</v>
      </c>
      <c r="C54" s="21" t="s">
        <v>929</v>
      </c>
      <c r="D54" s="21" t="s">
        <v>20</v>
      </c>
      <c r="E54" s="21" t="s">
        <v>2033</v>
      </c>
      <c r="F54" s="21" t="s">
        <v>17</v>
      </c>
      <c r="G54" s="21" t="s">
        <v>42</v>
      </c>
      <c r="H54" s="21" t="s">
        <v>31</v>
      </c>
      <c r="I54" s="38" t="s">
        <v>2034</v>
      </c>
      <c r="J54" s="22">
        <v>3</v>
      </c>
      <c r="K54" s="22">
        <v>0</v>
      </c>
    </row>
    <row r="55" spans="1:11" ht="62.5" x14ac:dyDescent="0.35">
      <c r="A55" s="12">
        <v>50</v>
      </c>
      <c r="B55" s="12" t="s">
        <v>952</v>
      </c>
      <c r="C55" s="11" t="s">
        <v>953</v>
      </c>
      <c r="D55" s="11" t="s">
        <v>20</v>
      </c>
      <c r="E55" s="11" t="s">
        <v>2040</v>
      </c>
      <c r="F55" s="11" t="s">
        <v>2041</v>
      </c>
      <c r="G55" s="11" t="s">
        <v>92</v>
      </c>
      <c r="H55" s="11" t="s">
        <v>31</v>
      </c>
      <c r="I55" s="35" t="s">
        <v>2042</v>
      </c>
      <c r="J55" s="12">
        <v>3</v>
      </c>
      <c r="K55" s="12">
        <v>0</v>
      </c>
    </row>
    <row r="56" spans="1:11" ht="37.5" x14ac:dyDescent="0.35">
      <c r="A56" s="22">
        <v>51</v>
      </c>
      <c r="B56" s="12" t="s">
        <v>986</v>
      </c>
      <c r="C56" s="11" t="s">
        <v>987</v>
      </c>
      <c r="D56" s="11" t="s">
        <v>20</v>
      </c>
      <c r="E56" s="11" t="s">
        <v>2050</v>
      </c>
      <c r="F56" s="11" t="s">
        <v>293</v>
      </c>
      <c r="G56" s="11" t="s">
        <v>42</v>
      </c>
      <c r="H56" s="11" t="s">
        <v>31</v>
      </c>
      <c r="I56" s="35" t="s">
        <v>2051</v>
      </c>
      <c r="J56" s="12">
        <v>3</v>
      </c>
      <c r="K56" s="12">
        <v>0</v>
      </c>
    </row>
    <row r="57" spans="1:11" ht="37.5" x14ac:dyDescent="0.35">
      <c r="A57" s="12">
        <v>52</v>
      </c>
      <c r="B57" s="22" t="s">
        <v>994</v>
      </c>
      <c r="C57" s="21" t="s">
        <v>995</v>
      </c>
      <c r="D57" s="21" t="s">
        <v>20</v>
      </c>
      <c r="E57" s="21" t="s">
        <v>2052</v>
      </c>
      <c r="F57" s="21" t="s">
        <v>17</v>
      </c>
      <c r="G57" s="21" t="s">
        <v>92</v>
      </c>
      <c r="H57" s="21" t="s">
        <v>31</v>
      </c>
      <c r="I57" s="38" t="s">
        <v>2053</v>
      </c>
      <c r="J57" s="22">
        <v>3</v>
      </c>
      <c r="K57" s="22">
        <v>0</v>
      </c>
    </row>
    <row r="58" spans="1:11" ht="37.5" x14ac:dyDescent="0.35">
      <c r="A58" s="22">
        <v>53</v>
      </c>
      <c r="B58" s="12" t="s">
        <v>1002</v>
      </c>
      <c r="C58" s="11" t="s">
        <v>1003</v>
      </c>
      <c r="D58" s="11" t="s">
        <v>20</v>
      </c>
      <c r="E58" s="11" t="s">
        <v>2054</v>
      </c>
      <c r="F58" s="11" t="s">
        <v>17</v>
      </c>
      <c r="G58" s="11" t="s">
        <v>42</v>
      </c>
      <c r="H58" s="11" t="s">
        <v>31</v>
      </c>
      <c r="I58" s="35" t="s">
        <v>2055</v>
      </c>
      <c r="J58" s="12">
        <v>3</v>
      </c>
      <c r="K58" s="12">
        <v>0</v>
      </c>
    </row>
    <row r="59" spans="1:11" ht="37.5" x14ac:dyDescent="0.35">
      <c r="A59" s="12">
        <v>54</v>
      </c>
      <c r="B59" s="22" t="s">
        <v>1026</v>
      </c>
      <c r="C59" s="21" t="s">
        <v>1027</v>
      </c>
      <c r="D59" s="21" t="s">
        <v>20</v>
      </c>
      <c r="E59" s="21" t="s">
        <v>2060</v>
      </c>
      <c r="F59" s="21" t="s">
        <v>17</v>
      </c>
      <c r="G59" s="21" t="s">
        <v>42</v>
      </c>
      <c r="H59" s="21" t="s">
        <v>31</v>
      </c>
      <c r="I59" s="38" t="s">
        <v>2061</v>
      </c>
      <c r="J59" s="22">
        <v>3</v>
      </c>
      <c r="K59" s="22">
        <v>0</v>
      </c>
    </row>
    <row r="60" spans="1:11" ht="75" x14ac:dyDescent="0.35">
      <c r="A60" s="22">
        <v>55</v>
      </c>
      <c r="B60" s="12" t="s">
        <v>1034</v>
      </c>
      <c r="C60" s="11" t="s">
        <v>1035</v>
      </c>
      <c r="D60" s="11" t="s">
        <v>20</v>
      </c>
      <c r="E60" s="11" t="s">
        <v>2062</v>
      </c>
      <c r="F60" s="11" t="s">
        <v>2063</v>
      </c>
      <c r="G60" s="11" t="s">
        <v>2064</v>
      </c>
      <c r="H60" s="11" t="s">
        <v>31</v>
      </c>
      <c r="I60" s="35" t="s">
        <v>2065</v>
      </c>
      <c r="J60" s="12">
        <v>3</v>
      </c>
      <c r="K60" s="12">
        <v>0</v>
      </c>
    </row>
    <row r="61" spans="1:11" ht="37.5" x14ac:dyDescent="0.35">
      <c r="A61" s="12">
        <v>56</v>
      </c>
      <c r="B61" s="22" t="s">
        <v>1043</v>
      </c>
      <c r="C61" s="21" t="s">
        <v>1044</v>
      </c>
      <c r="D61" s="21" t="s">
        <v>20</v>
      </c>
      <c r="E61" s="21" t="s">
        <v>2066</v>
      </c>
      <c r="F61" s="21" t="s">
        <v>17</v>
      </c>
      <c r="G61" s="21" t="s">
        <v>42</v>
      </c>
      <c r="H61" s="21" t="s">
        <v>31</v>
      </c>
      <c r="I61" s="38" t="s">
        <v>2067</v>
      </c>
      <c r="J61" s="22">
        <v>3</v>
      </c>
      <c r="K61" s="22">
        <v>0</v>
      </c>
    </row>
    <row r="62" spans="1:11" ht="37.5" x14ac:dyDescent="0.35">
      <c r="A62" s="22">
        <v>57</v>
      </c>
      <c r="B62" s="22" t="s">
        <v>1075</v>
      </c>
      <c r="C62" s="21" t="s">
        <v>1076</v>
      </c>
      <c r="D62" s="21" t="s">
        <v>20</v>
      </c>
      <c r="E62" s="21" t="s">
        <v>2074</v>
      </c>
      <c r="F62" s="21" t="s">
        <v>167</v>
      </c>
      <c r="G62" s="21" t="s">
        <v>30</v>
      </c>
      <c r="H62" s="21" t="s">
        <v>31</v>
      </c>
      <c r="I62" s="38" t="s">
        <v>2075</v>
      </c>
      <c r="J62" s="22">
        <v>3</v>
      </c>
      <c r="K62" s="22">
        <v>0</v>
      </c>
    </row>
    <row r="63" spans="1:11" ht="37.5" x14ac:dyDescent="0.35">
      <c r="A63" s="12">
        <v>58</v>
      </c>
      <c r="B63" s="12" t="s">
        <v>1100</v>
      </c>
      <c r="C63" s="11" t="s">
        <v>1101</v>
      </c>
      <c r="D63" s="11" t="s">
        <v>20</v>
      </c>
      <c r="E63" s="11" t="s">
        <v>2083</v>
      </c>
      <c r="F63" s="11" t="s">
        <v>17</v>
      </c>
      <c r="G63" s="11" t="s">
        <v>30</v>
      </c>
      <c r="H63" s="11" t="s">
        <v>2084</v>
      </c>
      <c r="I63" s="35" t="s">
        <v>2085</v>
      </c>
      <c r="J63" s="12">
        <v>3</v>
      </c>
      <c r="K63" s="12">
        <v>0</v>
      </c>
    </row>
    <row r="64" spans="1:11" ht="37.5" x14ac:dyDescent="0.35">
      <c r="A64" s="22">
        <v>59</v>
      </c>
      <c r="B64" s="22" t="s">
        <v>1108</v>
      </c>
      <c r="C64" s="21" t="s">
        <v>1109</v>
      </c>
      <c r="D64" s="21" t="s">
        <v>20</v>
      </c>
      <c r="E64" s="21" t="s">
        <v>2086</v>
      </c>
      <c r="F64" s="21" t="s">
        <v>17</v>
      </c>
      <c r="G64" s="21" t="s">
        <v>324</v>
      </c>
      <c r="H64" s="21" t="s">
        <v>31</v>
      </c>
      <c r="I64" s="38" t="s">
        <v>2087</v>
      </c>
      <c r="J64" s="22">
        <v>3</v>
      </c>
      <c r="K64" s="22">
        <v>0</v>
      </c>
    </row>
    <row r="65" spans="1:11" ht="37.5" x14ac:dyDescent="0.35">
      <c r="A65" s="12">
        <v>60</v>
      </c>
      <c r="B65" s="12" t="s">
        <v>1132</v>
      </c>
      <c r="C65" s="11" t="s">
        <v>1133</v>
      </c>
      <c r="D65" s="11" t="s">
        <v>20</v>
      </c>
      <c r="E65" s="11" t="s">
        <v>2092</v>
      </c>
      <c r="F65" s="11" t="s">
        <v>17</v>
      </c>
      <c r="G65" s="11" t="s">
        <v>92</v>
      </c>
      <c r="H65" s="11" t="s">
        <v>31</v>
      </c>
      <c r="I65" s="35" t="s">
        <v>2093</v>
      </c>
      <c r="J65" s="12">
        <v>3</v>
      </c>
      <c r="K65" s="12">
        <v>0</v>
      </c>
    </row>
    <row r="66" spans="1:11" ht="62.5" x14ac:dyDescent="0.35">
      <c r="A66" s="22">
        <v>61</v>
      </c>
      <c r="B66" s="22" t="s">
        <v>1140</v>
      </c>
      <c r="C66" s="21" t="s">
        <v>1141</v>
      </c>
      <c r="D66" s="21" t="s">
        <v>20</v>
      </c>
      <c r="E66" s="21" t="s">
        <v>2094</v>
      </c>
      <c r="F66" s="21" t="s">
        <v>17</v>
      </c>
      <c r="G66" s="21" t="s">
        <v>2095</v>
      </c>
      <c r="H66" s="21" t="s">
        <v>31</v>
      </c>
      <c r="I66" s="38" t="s">
        <v>2096</v>
      </c>
      <c r="J66" s="22">
        <v>3</v>
      </c>
      <c r="K66" s="22">
        <v>0</v>
      </c>
    </row>
    <row r="67" spans="1:11" ht="37.5" x14ac:dyDescent="0.35">
      <c r="A67" s="12">
        <v>62</v>
      </c>
      <c r="B67" s="22" t="s">
        <v>1156</v>
      </c>
      <c r="C67" s="21" t="s">
        <v>1157</v>
      </c>
      <c r="D67" s="21" t="s">
        <v>20</v>
      </c>
      <c r="E67" s="21" t="s">
        <v>2099</v>
      </c>
      <c r="F67" s="21" t="s">
        <v>17</v>
      </c>
      <c r="G67" s="21" t="s">
        <v>2100</v>
      </c>
      <c r="H67" s="21" t="s">
        <v>31</v>
      </c>
      <c r="I67" s="38" t="s">
        <v>2101</v>
      </c>
      <c r="J67" s="22">
        <v>2</v>
      </c>
      <c r="K67" s="22">
        <v>0</v>
      </c>
    </row>
    <row r="68" spans="1:11" ht="25" x14ac:dyDescent="0.35">
      <c r="A68" s="22">
        <v>63</v>
      </c>
      <c r="B68" s="12" t="s">
        <v>1162</v>
      </c>
      <c r="C68" s="11" t="s">
        <v>1157</v>
      </c>
      <c r="D68" s="11" t="s">
        <v>20</v>
      </c>
      <c r="E68" s="11" t="s">
        <v>1163</v>
      </c>
      <c r="F68" s="11" t="s">
        <v>17</v>
      </c>
      <c r="G68" s="11" t="s">
        <v>30</v>
      </c>
      <c r="H68" s="11" t="s">
        <v>31</v>
      </c>
      <c r="I68" s="35" t="s">
        <v>1164</v>
      </c>
      <c r="J68" s="12">
        <v>1</v>
      </c>
      <c r="K68" s="12">
        <v>0</v>
      </c>
    </row>
    <row r="69" spans="1:11" ht="37.5" x14ac:dyDescent="0.35">
      <c r="A69" s="12">
        <v>64</v>
      </c>
      <c r="B69" s="12" t="s">
        <v>1189</v>
      </c>
      <c r="C69" s="11" t="s">
        <v>1190</v>
      </c>
      <c r="D69" s="11" t="s">
        <v>20</v>
      </c>
      <c r="E69" s="11" t="s">
        <v>2110</v>
      </c>
      <c r="F69" s="11" t="s">
        <v>17</v>
      </c>
      <c r="G69" s="11" t="s">
        <v>42</v>
      </c>
      <c r="H69" s="11" t="s">
        <v>31</v>
      </c>
      <c r="I69" s="35" t="s">
        <v>2111</v>
      </c>
      <c r="J69" s="12">
        <v>3</v>
      </c>
      <c r="K69" s="12">
        <v>0</v>
      </c>
    </row>
    <row r="70" spans="1:11" ht="37.5" x14ac:dyDescent="0.35">
      <c r="A70" s="22">
        <v>65</v>
      </c>
      <c r="B70" s="22" t="s">
        <v>1197</v>
      </c>
      <c r="C70" s="21" t="s">
        <v>1198</v>
      </c>
      <c r="D70" s="21" t="s">
        <v>20</v>
      </c>
      <c r="E70" s="21" t="s">
        <v>2112</v>
      </c>
      <c r="F70" s="21" t="s">
        <v>17</v>
      </c>
      <c r="G70" s="21" t="s">
        <v>92</v>
      </c>
      <c r="H70" s="21" t="s">
        <v>31</v>
      </c>
      <c r="I70" s="38" t="s">
        <v>2113</v>
      </c>
      <c r="J70" s="22">
        <v>3</v>
      </c>
      <c r="K70" s="22">
        <v>0</v>
      </c>
    </row>
    <row r="71" spans="1:11" ht="50" x14ac:dyDescent="0.35">
      <c r="A71" s="12">
        <v>66</v>
      </c>
      <c r="B71" s="12" t="s">
        <v>1205</v>
      </c>
      <c r="C71" s="11" t="s">
        <v>1206</v>
      </c>
      <c r="D71" s="11" t="s">
        <v>20</v>
      </c>
      <c r="E71" s="11" t="s">
        <v>2114</v>
      </c>
      <c r="F71" s="11" t="s">
        <v>17</v>
      </c>
      <c r="G71" s="11" t="s">
        <v>2115</v>
      </c>
      <c r="H71" s="11" t="s">
        <v>31</v>
      </c>
      <c r="I71" s="35" t="s">
        <v>2116</v>
      </c>
      <c r="J71" s="12">
        <v>3</v>
      </c>
      <c r="K71" s="12">
        <v>0</v>
      </c>
    </row>
    <row r="72" spans="1:11" ht="37.5" x14ac:dyDescent="0.35">
      <c r="A72" s="22">
        <v>67</v>
      </c>
      <c r="B72" s="22" t="s">
        <v>1213</v>
      </c>
      <c r="C72" s="21" t="s">
        <v>1214</v>
      </c>
      <c r="D72" s="21" t="s">
        <v>20</v>
      </c>
      <c r="E72" s="21" t="s">
        <v>2117</v>
      </c>
      <c r="F72" s="21" t="s">
        <v>17</v>
      </c>
      <c r="G72" s="21" t="s">
        <v>92</v>
      </c>
      <c r="H72" s="21" t="s">
        <v>31</v>
      </c>
      <c r="I72" s="38" t="s">
        <v>2118</v>
      </c>
      <c r="J72" s="22">
        <v>3</v>
      </c>
      <c r="K72" s="22">
        <v>0</v>
      </c>
    </row>
    <row r="73" spans="1:11" ht="37.5" x14ac:dyDescent="0.35">
      <c r="A73" s="12">
        <v>68</v>
      </c>
      <c r="B73" s="12" t="s">
        <v>1221</v>
      </c>
      <c r="C73" s="11" t="s">
        <v>1222</v>
      </c>
      <c r="D73" s="11" t="s">
        <v>20</v>
      </c>
      <c r="E73" s="11" t="s">
        <v>2119</v>
      </c>
      <c r="F73" s="11" t="s">
        <v>17</v>
      </c>
      <c r="G73" s="11" t="s">
        <v>92</v>
      </c>
      <c r="H73" s="11" t="s">
        <v>31</v>
      </c>
      <c r="I73" s="35" t="s">
        <v>2120</v>
      </c>
      <c r="J73" s="12">
        <v>3</v>
      </c>
      <c r="K73" s="12">
        <v>0</v>
      </c>
    </row>
    <row r="74" spans="1:11" ht="50" x14ac:dyDescent="0.35">
      <c r="A74" s="22">
        <v>69</v>
      </c>
      <c r="B74" s="22" t="s">
        <v>1245</v>
      </c>
      <c r="C74" s="21" t="s">
        <v>1246</v>
      </c>
      <c r="D74" s="21" t="s">
        <v>20</v>
      </c>
      <c r="E74" s="21" t="s">
        <v>2125</v>
      </c>
      <c r="F74" s="21" t="s">
        <v>17</v>
      </c>
      <c r="G74" s="21" t="s">
        <v>42</v>
      </c>
      <c r="H74" s="21" t="s">
        <v>31</v>
      </c>
      <c r="I74" s="38" t="s">
        <v>2126</v>
      </c>
      <c r="J74" s="22">
        <v>3</v>
      </c>
      <c r="K74" s="22">
        <v>0</v>
      </c>
    </row>
    <row r="75" spans="1:11" ht="37.5" x14ac:dyDescent="0.35">
      <c r="A75" s="12">
        <v>70</v>
      </c>
      <c r="B75" s="22" t="s">
        <v>1261</v>
      </c>
      <c r="C75" s="21" t="s">
        <v>1262</v>
      </c>
      <c r="D75" s="21" t="s">
        <v>20</v>
      </c>
      <c r="E75" s="21" t="s">
        <v>2129</v>
      </c>
      <c r="F75" s="21" t="s">
        <v>1264</v>
      </c>
      <c r="G75" s="21" t="s">
        <v>30</v>
      </c>
      <c r="H75" s="21" t="s">
        <v>31</v>
      </c>
      <c r="I75" s="38" t="s">
        <v>2130</v>
      </c>
      <c r="J75" s="22">
        <v>3</v>
      </c>
      <c r="K75" s="22">
        <v>0</v>
      </c>
    </row>
    <row r="76" spans="1:11" ht="37.5" x14ac:dyDescent="0.35">
      <c r="A76" s="22">
        <v>71</v>
      </c>
      <c r="B76" s="12" t="s">
        <v>1286</v>
      </c>
      <c r="C76" s="11" t="s">
        <v>1287</v>
      </c>
      <c r="D76" s="11" t="s">
        <v>20</v>
      </c>
      <c r="E76" s="11" t="s">
        <v>2135</v>
      </c>
      <c r="F76" s="11" t="s">
        <v>17</v>
      </c>
      <c r="G76" s="11" t="s">
        <v>294</v>
      </c>
      <c r="H76" s="11" t="s">
        <v>31</v>
      </c>
      <c r="I76" s="35" t="s">
        <v>2136</v>
      </c>
      <c r="J76" s="12">
        <v>3</v>
      </c>
      <c r="K76" s="12">
        <v>0</v>
      </c>
    </row>
    <row r="77" spans="1:11" ht="37.5" x14ac:dyDescent="0.35">
      <c r="A77" s="12">
        <v>72</v>
      </c>
      <c r="B77" s="22" t="s">
        <v>1294</v>
      </c>
      <c r="C77" s="21" t="s">
        <v>1295</v>
      </c>
      <c r="D77" s="21" t="s">
        <v>20</v>
      </c>
      <c r="E77" s="21" t="s">
        <v>2137</v>
      </c>
      <c r="F77" s="21" t="s">
        <v>380</v>
      </c>
      <c r="G77" s="21" t="s">
        <v>30</v>
      </c>
      <c r="H77" s="21" t="s">
        <v>31</v>
      </c>
      <c r="I77" s="38" t="s">
        <v>2138</v>
      </c>
      <c r="J77" s="22">
        <v>3</v>
      </c>
      <c r="K77" s="22">
        <v>0</v>
      </c>
    </row>
    <row r="78" spans="1:11" ht="37.5" x14ac:dyDescent="0.35">
      <c r="A78" s="22">
        <v>73</v>
      </c>
      <c r="B78" s="22" t="s">
        <v>1356</v>
      </c>
      <c r="C78" s="21" t="s">
        <v>1357</v>
      </c>
      <c r="D78" s="21" t="s">
        <v>20</v>
      </c>
      <c r="E78" s="21" t="s">
        <v>2155</v>
      </c>
      <c r="F78" s="21" t="s">
        <v>17</v>
      </c>
      <c r="G78" s="21" t="s">
        <v>30</v>
      </c>
      <c r="H78" s="21" t="s">
        <v>31</v>
      </c>
      <c r="I78" s="38" t="s">
        <v>2156</v>
      </c>
      <c r="J78" s="22">
        <v>3</v>
      </c>
      <c r="K78" s="22">
        <v>0</v>
      </c>
    </row>
    <row r="79" spans="1:11" ht="37.5" x14ac:dyDescent="0.35">
      <c r="A79" s="12">
        <v>74</v>
      </c>
      <c r="B79" s="12" t="s">
        <v>1364</v>
      </c>
      <c r="C79" s="11" t="s">
        <v>1365</v>
      </c>
      <c r="D79" s="11" t="s">
        <v>20</v>
      </c>
      <c r="E79" s="11" t="s">
        <v>2157</v>
      </c>
      <c r="F79" s="11" t="s">
        <v>17</v>
      </c>
      <c r="G79" s="11" t="s">
        <v>42</v>
      </c>
      <c r="H79" s="11" t="s">
        <v>31</v>
      </c>
      <c r="I79" s="35" t="s">
        <v>2158</v>
      </c>
      <c r="J79" s="12">
        <v>3</v>
      </c>
      <c r="K79" s="12">
        <v>0</v>
      </c>
    </row>
    <row r="80" spans="1:11" ht="37.5" x14ac:dyDescent="0.35">
      <c r="A80" s="22">
        <v>75</v>
      </c>
      <c r="B80" s="22" t="s">
        <v>1372</v>
      </c>
      <c r="C80" s="21" t="s">
        <v>1373</v>
      </c>
      <c r="D80" s="21" t="s">
        <v>20</v>
      </c>
      <c r="E80" s="21" t="s">
        <v>2159</v>
      </c>
      <c r="F80" s="21" t="s">
        <v>17</v>
      </c>
      <c r="G80" s="21" t="s">
        <v>42</v>
      </c>
      <c r="H80" s="21" t="s">
        <v>31</v>
      </c>
      <c r="I80" s="38" t="s">
        <v>2160</v>
      </c>
      <c r="J80" s="22">
        <v>3</v>
      </c>
      <c r="K80" s="22">
        <v>0</v>
      </c>
    </row>
    <row r="81" spans="1:11" ht="87.5" x14ac:dyDescent="0.35">
      <c r="A81" s="12">
        <v>76</v>
      </c>
      <c r="B81" s="12" t="s">
        <v>1380</v>
      </c>
      <c r="C81" s="11" t="s">
        <v>1381</v>
      </c>
      <c r="D81" s="11" t="s">
        <v>20</v>
      </c>
      <c r="E81" s="11" t="s">
        <v>2161</v>
      </c>
      <c r="F81" s="11" t="s">
        <v>2162</v>
      </c>
      <c r="G81" s="11" t="s">
        <v>2163</v>
      </c>
      <c r="H81" s="11" t="s">
        <v>31</v>
      </c>
      <c r="I81" s="35" t="s">
        <v>2164</v>
      </c>
      <c r="J81" s="12">
        <v>3</v>
      </c>
      <c r="K81" s="12">
        <v>0</v>
      </c>
    </row>
    <row r="82" spans="1:11" ht="50" x14ac:dyDescent="0.35">
      <c r="A82" s="22">
        <v>77</v>
      </c>
      <c r="B82" s="22" t="s">
        <v>1388</v>
      </c>
      <c r="C82" s="21" t="s">
        <v>1389</v>
      </c>
      <c r="D82" s="21" t="s">
        <v>20</v>
      </c>
      <c r="E82" s="21" t="s">
        <v>2165</v>
      </c>
      <c r="F82" s="21" t="s">
        <v>17</v>
      </c>
      <c r="G82" s="21" t="s">
        <v>1899</v>
      </c>
      <c r="H82" s="21" t="s">
        <v>31</v>
      </c>
      <c r="I82" s="38" t="s">
        <v>2166</v>
      </c>
      <c r="J82" s="22">
        <v>3</v>
      </c>
      <c r="K82" s="22">
        <v>0</v>
      </c>
    </row>
    <row r="83" spans="1:11" ht="37.5" x14ac:dyDescent="0.35">
      <c r="A83" s="12">
        <v>78</v>
      </c>
      <c r="B83" s="12" t="s">
        <v>1428</v>
      </c>
      <c r="C83" s="11" t="s">
        <v>1429</v>
      </c>
      <c r="D83" s="11" t="s">
        <v>20</v>
      </c>
      <c r="E83" s="11" t="s">
        <v>2179</v>
      </c>
      <c r="F83" s="11" t="s">
        <v>17</v>
      </c>
      <c r="G83" s="11" t="s">
        <v>42</v>
      </c>
      <c r="H83" s="11" t="s">
        <v>31</v>
      </c>
      <c r="I83" s="35" t="s">
        <v>2180</v>
      </c>
      <c r="J83" s="12">
        <v>3</v>
      </c>
      <c r="K83" s="12">
        <v>0</v>
      </c>
    </row>
    <row r="84" spans="1:11" ht="37.5" x14ac:dyDescent="0.35">
      <c r="A84" s="22">
        <v>79</v>
      </c>
      <c r="B84" s="12" t="s">
        <v>1495</v>
      </c>
      <c r="C84" s="11" t="s">
        <v>1496</v>
      </c>
      <c r="D84" s="11" t="s">
        <v>1463</v>
      </c>
      <c r="E84" s="11" t="s">
        <v>2198</v>
      </c>
      <c r="F84" s="11" t="s">
        <v>218</v>
      </c>
      <c r="G84" s="11" t="s">
        <v>324</v>
      </c>
      <c r="H84" s="11" t="s">
        <v>31</v>
      </c>
      <c r="I84" s="35" t="s">
        <v>2199</v>
      </c>
      <c r="J84" s="12">
        <v>3</v>
      </c>
      <c r="K84" s="12">
        <v>0</v>
      </c>
    </row>
    <row r="85" spans="1:11" ht="50" x14ac:dyDescent="0.35">
      <c r="A85" s="12">
        <v>80</v>
      </c>
      <c r="B85" s="22" t="s">
        <v>1503</v>
      </c>
      <c r="C85" s="21" t="s">
        <v>1504</v>
      </c>
      <c r="D85" s="21" t="s">
        <v>1463</v>
      </c>
      <c r="E85" s="21" t="s">
        <v>2200</v>
      </c>
      <c r="F85" s="21" t="s">
        <v>218</v>
      </c>
      <c r="G85" s="21" t="s">
        <v>324</v>
      </c>
      <c r="H85" s="21" t="s">
        <v>31</v>
      </c>
      <c r="I85" s="38" t="s">
        <v>2201</v>
      </c>
      <c r="J85" s="22">
        <v>3</v>
      </c>
      <c r="K85" s="22">
        <v>0</v>
      </c>
    </row>
    <row r="86" spans="1:11" ht="37.5" x14ac:dyDescent="0.35">
      <c r="A86" s="22">
        <v>81</v>
      </c>
      <c r="B86" s="22" t="s">
        <v>1535</v>
      </c>
      <c r="C86" s="21" t="s">
        <v>1536</v>
      </c>
      <c r="D86" s="21" t="s">
        <v>1463</v>
      </c>
      <c r="E86" s="21" t="s">
        <v>2211</v>
      </c>
      <c r="F86" s="21" t="s">
        <v>167</v>
      </c>
      <c r="G86" s="21" t="s">
        <v>30</v>
      </c>
      <c r="H86" s="21" t="s">
        <v>31</v>
      </c>
      <c r="I86" s="38" t="s">
        <v>2212</v>
      </c>
      <c r="J86" s="22">
        <v>3</v>
      </c>
      <c r="K86" s="22">
        <v>0</v>
      </c>
    </row>
    <row r="87" spans="1:11" ht="50" x14ac:dyDescent="0.35">
      <c r="A87" s="12">
        <v>82</v>
      </c>
      <c r="B87" s="22" t="s">
        <v>1718</v>
      </c>
      <c r="C87" s="21" t="s">
        <v>1719</v>
      </c>
      <c r="D87" s="21" t="s">
        <v>1679</v>
      </c>
      <c r="E87" s="21" t="s">
        <v>2263</v>
      </c>
      <c r="F87" s="21" t="s">
        <v>17</v>
      </c>
      <c r="G87" s="21" t="s">
        <v>2115</v>
      </c>
      <c r="H87" s="21" t="s">
        <v>31</v>
      </c>
      <c r="I87" s="38" t="s">
        <v>2264</v>
      </c>
      <c r="J87" s="22">
        <v>3</v>
      </c>
      <c r="K87" s="22">
        <v>0</v>
      </c>
    </row>
    <row r="88" spans="1:11" ht="62.5" x14ac:dyDescent="0.35">
      <c r="A88" s="22">
        <v>83</v>
      </c>
      <c r="B88" s="12" t="s">
        <v>1726</v>
      </c>
      <c r="C88" s="11" t="s">
        <v>1727</v>
      </c>
      <c r="D88" s="11" t="s">
        <v>1679</v>
      </c>
      <c r="E88" s="11" t="s">
        <v>2265</v>
      </c>
      <c r="F88" s="11" t="s">
        <v>17</v>
      </c>
      <c r="G88" s="11" t="s">
        <v>92</v>
      </c>
      <c r="H88" s="11" t="s">
        <v>31</v>
      </c>
      <c r="I88" s="35" t="s">
        <v>2266</v>
      </c>
      <c r="J88" s="12">
        <v>3</v>
      </c>
      <c r="K88" s="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A63E-29B6-42F5-A295-7DE2C8505C18}">
  <dimension ref="A5:L110"/>
  <sheetViews>
    <sheetView topLeftCell="A106" zoomScale="85" zoomScaleNormal="85" workbookViewId="0">
      <selection activeCell="D113" sqref="D113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37.5" x14ac:dyDescent="0.35">
      <c r="A6" s="22">
        <v>1</v>
      </c>
      <c r="B6" s="22" t="s">
        <v>48</v>
      </c>
      <c r="C6" s="21" t="s">
        <v>49</v>
      </c>
      <c r="D6" s="21" t="s">
        <v>20</v>
      </c>
      <c r="E6" s="21" t="s">
        <v>1788</v>
      </c>
      <c r="F6" s="21" t="s">
        <v>17</v>
      </c>
      <c r="G6" s="21" t="s">
        <v>1789</v>
      </c>
      <c r="H6" s="21" t="s">
        <v>1790</v>
      </c>
      <c r="I6" s="38" t="s">
        <v>1791</v>
      </c>
      <c r="J6" s="22">
        <v>3</v>
      </c>
      <c r="K6" s="22">
        <v>0</v>
      </c>
      <c r="L6" s="44"/>
    </row>
    <row r="7" spans="1:12" ht="50" x14ac:dyDescent="0.35">
      <c r="A7" s="22">
        <v>2</v>
      </c>
      <c r="B7" s="22" t="s">
        <v>65</v>
      </c>
      <c r="C7" s="21" t="s">
        <v>66</v>
      </c>
      <c r="D7" s="21" t="s">
        <v>20</v>
      </c>
      <c r="E7" s="21" t="s">
        <v>1794</v>
      </c>
      <c r="F7" s="21" t="s">
        <v>17</v>
      </c>
      <c r="G7" s="21" t="s">
        <v>1795</v>
      </c>
      <c r="H7" s="21" t="s">
        <v>55</v>
      </c>
      <c r="I7" s="38" t="s">
        <v>1796</v>
      </c>
      <c r="J7" s="22">
        <v>3</v>
      </c>
      <c r="K7" s="22">
        <v>0</v>
      </c>
      <c r="L7" s="44"/>
    </row>
    <row r="8" spans="1:12" ht="50" x14ac:dyDescent="0.35">
      <c r="A8" s="22">
        <v>3</v>
      </c>
      <c r="B8" s="22" t="s">
        <v>81</v>
      </c>
      <c r="C8" s="21" t="s">
        <v>82</v>
      </c>
      <c r="D8" s="21" t="s">
        <v>20</v>
      </c>
      <c r="E8" s="21" t="s">
        <v>1799</v>
      </c>
      <c r="F8" s="21" t="s">
        <v>17</v>
      </c>
      <c r="G8" s="21" t="s">
        <v>1800</v>
      </c>
      <c r="H8" s="21" t="s">
        <v>55</v>
      </c>
      <c r="I8" s="38" t="s">
        <v>1801</v>
      </c>
      <c r="J8" s="22">
        <v>3</v>
      </c>
      <c r="K8" s="22">
        <v>0</v>
      </c>
      <c r="L8" s="44"/>
    </row>
    <row r="9" spans="1:12" ht="37.5" x14ac:dyDescent="0.35">
      <c r="A9" s="22">
        <v>4</v>
      </c>
      <c r="B9" s="12" t="s">
        <v>89</v>
      </c>
      <c r="C9" s="11" t="s">
        <v>90</v>
      </c>
      <c r="D9" s="11" t="s">
        <v>20</v>
      </c>
      <c r="E9" s="11" t="s">
        <v>1802</v>
      </c>
      <c r="F9" s="11" t="s">
        <v>17</v>
      </c>
      <c r="G9" s="11" t="s">
        <v>92</v>
      </c>
      <c r="H9" s="11" t="s">
        <v>55</v>
      </c>
      <c r="I9" s="35" t="s">
        <v>1803</v>
      </c>
      <c r="J9" s="12">
        <v>3</v>
      </c>
      <c r="K9" s="12">
        <v>0</v>
      </c>
      <c r="L9" s="44"/>
    </row>
    <row r="10" spans="1:12" ht="37.5" x14ac:dyDescent="0.35">
      <c r="A10" s="22">
        <v>5</v>
      </c>
      <c r="B10" s="12" t="s">
        <v>122</v>
      </c>
      <c r="C10" s="11" t="s">
        <v>123</v>
      </c>
      <c r="D10" s="11" t="s">
        <v>20</v>
      </c>
      <c r="E10" s="11" t="s">
        <v>1810</v>
      </c>
      <c r="F10" s="11" t="s">
        <v>17</v>
      </c>
      <c r="G10" s="11" t="s">
        <v>1811</v>
      </c>
      <c r="H10" s="11" t="s">
        <v>55</v>
      </c>
      <c r="I10" s="35" t="s">
        <v>1812</v>
      </c>
      <c r="J10" s="12">
        <v>3</v>
      </c>
      <c r="K10" s="12">
        <v>0</v>
      </c>
      <c r="L10" s="44"/>
    </row>
    <row r="11" spans="1:12" ht="37.5" x14ac:dyDescent="0.35">
      <c r="A11" s="22">
        <v>6</v>
      </c>
      <c r="B11" s="22" t="s">
        <v>148</v>
      </c>
      <c r="C11" s="21" t="s">
        <v>149</v>
      </c>
      <c r="D11" s="21" t="s">
        <v>20</v>
      </c>
      <c r="E11" s="21" t="s">
        <v>1818</v>
      </c>
      <c r="F11" s="21" t="s">
        <v>17</v>
      </c>
      <c r="G11" s="21" t="s">
        <v>42</v>
      </c>
      <c r="H11" s="21" t="s">
        <v>55</v>
      </c>
      <c r="I11" s="38" t="s">
        <v>1819</v>
      </c>
      <c r="J11" s="22">
        <v>3</v>
      </c>
      <c r="K11" s="22">
        <v>0</v>
      </c>
      <c r="L11" s="44"/>
    </row>
    <row r="12" spans="1:12" ht="37.5" x14ac:dyDescent="0.35">
      <c r="A12" s="22">
        <v>7</v>
      </c>
      <c r="B12" s="22" t="s">
        <v>181</v>
      </c>
      <c r="C12" s="21" t="s">
        <v>182</v>
      </c>
      <c r="D12" s="21" t="s">
        <v>20</v>
      </c>
      <c r="E12" s="21" t="s">
        <v>1826</v>
      </c>
      <c r="F12" s="21" t="s">
        <v>17</v>
      </c>
      <c r="G12" s="21" t="s">
        <v>92</v>
      </c>
      <c r="H12" s="21" t="s">
        <v>55</v>
      </c>
      <c r="I12" s="38" t="s">
        <v>1827</v>
      </c>
      <c r="J12" s="22">
        <v>3</v>
      </c>
      <c r="K12" s="22">
        <v>0</v>
      </c>
    </row>
    <row r="13" spans="1:12" ht="37.5" x14ac:dyDescent="0.35">
      <c r="A13" s="22">
        <v>8</v>
      </c>
      <c r="B13" s="22" t="s">
        <v>199</v>
      </c>
      <c r="C13" s="21" t="s">
        <v>200</v>
      </c>
      <c r="D13" s="21" t="s">
        <v>20</v>
      </c>
      <c r="E13" s="21" t="s">
        <v>1830</v>
      </c>
      <c r="F13" s="21" t="s">
        <v>17</v>
      </c>
      <c r="G13" s="21" t="s">
        <v>92</v>
      </c>
      <c r="H13" s="21" t="s">
        <v>55</v>
      </c>
      <c r="I13" s="38" t="s">
        <v>1831</v>
      </c>
      <c r="J13" s="22">
        <v>3</v>
      </c>
      <c r="K13" s="22">
        <v>0</v>
      </c>
    </row>
    <row r="14" spans="1:12" ht="37.5" x14ac:dyDescent="0.35">
      <c r="A14" s="22">
        <v>9</v>
      </c>
      <c r="B14" s="12" t="s">
        <v>207</v>
      </c>
      <c r="C14" s="11" t="s">
        <v>208</v>
      </c>
      <c r="D14" s="11" t="s">
        <v>20</v>
      </c>
      <c r="E14" s="11" t="s">
        <v>1832</v>
      </c>
      <c r="F14" s="11" t="s">
        <v>17</v>
      </c>
      <c r="G14" s="11" t="s">
        <v>92</v>
      </c>
      <c r="H14" s="11" t="s">
        <v>55</v>
      </c>
      <c r="I14" s="35" t="s">
        <v>1833</v>
      </c>
      <c r="J14" s="12">
        <v>3</v>
      </c>
      <c r="K14" s="12">
        <v>0</v>
      </c>
    </row>
    <row r="15" spans="1:12" ht="37.5" x14ac:dyDescent="0.35">
      <c r="A15" s="22">
        <v>10</v>
      </c>
      <c r="B15" s="22" t="s">
        <v>231</v>
      </c>
      <c r="C15" s="21" t="s">
        <v>232</v>
      </c>
      <c r="D15" s="21" t="s">
        <v>20</v>
      </c>
      <c r="E15" s="21" t="s">
        <v>1838</v>
      </c>
      <c r="F15" s="21" t="s">
        <v>234</v>
      </c>
      <c r="G15" s="21" t="s">
        <v>30</v>
      </c>
      <c r="H15" s="21" t="s">
        <v>55</v>
      </c>
      <c r="I15" s="38" t="s">
        <v>1839</v>
      </c>
      <c r="J15" s="22">
        <v>3</v>
      </c>
      <c r="K15" s="22">
        <v>0</v>
      </c>
    </row>
    <row r="16" spans="1:12" ht="50" x14ac:dyDescent="0.35">
      <c r="A16" s="22">
        <v>11</v>
      </c>
      <c r="B16" s="12" t="s">
        <v>240</v>
      </c>
      <c r="C16" s="11" t="s">
        <v>241</v>
      </c>
      <c r="D16" s="11" t="s">
        <v>20</v>
      </c>
      <c r="E16" s="11" t="s">
        <v>1840</v>
      </c>
      <c r="F16" s="11" t="s">
        <v>243</v>
      </c>
      <c r="G16" s="11" t="s">
        <v>92</v>
      </c>
      <c r="H16" s="11" t="s">
        <v>55</v>
      </c>
      <c r="I16" s="35" t="s">
        <v>1841</v>
      </c>
      <c r="J16" s="12">
        <v>3</v>
      </c>
      <c r="K16" s="12">
        <v>0</v>
      </c>
    </row>
    <row r="17" spans="1:11" ht="37.5" x14ac:dyDescent="0.35">
      <c r="A17" s="22">
        <v>12</v>
      </c>
      <c r="B17" s="22" t="s">
        <v>249</v>
      </c>
      <c r="C17" s="21" t="s">
        <v>250</v>
      </c>
      <c r="D17" s="21" t="s">
        <v>20</v>
      </c>
      <c r="E17" s="21" t="s">
        <v>1842</v>
      </c>
      <c r="F17" s="21" t="s">
        <v>17</v>
      </c>
      <c r="G17" s="21" t="s">
        <v>92</v>
      </c>
      <c r="H17" s="21" t="s">
        <v>55</v>
      </c>
      <c r="I17" s="38" t="s">
        <v>1843</v>
      </c>
      <c r="J17" s="22">
        <v>3</v>
      </c>
      <c r="K17" s="22">
        <v>0</v>
      </c>
    </row>
    <row r="18" spans="1:11" ht="37.5" x14ac:dyDescent="0.35">
      <c r="A18" s="22">
        <v>13</v>
      </c>
      <c r="B18" s="12" t="s">
        <v>273</v>
      </c>
      <c r="C18" s="11" t="s">
        <v>274</v>
      </c>
      <c r="D18" s="11" t="s">
        <v>20</v>
      </c>
      <c r="E18" s="11" t="s">
        <v>1848</v>
      </c>
      <c r="F18" s="11" t="s">
        <v>218</v>
      </c>
      <c r="G18" s="11" t="s">
        <v>42</v>
      </c>
      <c r="H18" s="11" t="s">
        <v>55</v>
      </c>
      <c r="I18" s="35" t="s">
        <v>1849</v>
      </c>
      <c r="J18" s="12">
        <v>3</v>
      </c>
      <c r="K18" s="12">
        <v>0</v>
      </c>
    </row>
    <row r="19" spans="1:11" ht="50" x14ac:dyDescent="0.35">
      <c r="A19" s="22">
        <v>14</v>
      </c>
      <c r="B19" s="12" t="s">
        <v>290</v>
      </c>
      <c r="C19" s="11" t="s">
        <v>291</v>
      </c>
      <c r="D19" s="11" t="s">
        <v>20</v>
      </c>
      <c r="E19" s="11" t="s">
        <v>1853</v>
      </c>
      <c r="F19" s="11" t="s">
        <v>1854</v>
      </c>
      <c r="G19" s="11" t="s">
        <v>1855</v>
      </c>
      <c r="H19" s="11" t="s">
        <v>55</v>
      </c>
      <c r="I19" s="35" t="s">
        <v>1856</v>
      </c>
      <c r="J19" s="12">
        <v>3</v>
      </c>
      <c r="K19" s="12">
        <v>0</v>
      </c>
    </row>
    <row r="20" spans="1:11" ht="50" x14ac:dyDescent="0.35">
      <c r="A20" s="22">
        <v>15</v>
      </c>
      <c r="B20" s="12" t="s">
        <v>310</v>
      </c>
      <c r="C20" s="11" t="s">
        <v>303</v>
      </c>
      <c r="D20" s="11" t="s">
        <v>20</v>
      </c>
      <c r="E20" s="11" t="s">
        <v>1859</v>
      </c>
      <c r="F20" s="11" t="s">
        <v>17</v>
      </c>
      <c r="G20" s="11" t="s">
        <v>42</v>
      </c>
      <c r="H20" s="11" t="s">
        <v>55</v>
      </c>
      <c r="I20" s="35" t="s">
        <v>1860</v>
      </c>
      <c r="J20" s="12">
        <v>3</v>
      </c>
      <c r="K20" s="12">
        <v>0</v>
      </c>
    </row>
    <row r="21" spans="1:11" ht="50" x14ac:dyDescent="0.35">
      <c r="A21" s="22">
        <v>16</v>
      </c>
      <c r="B21" s="22" t="s">
        <v>317</v>
      </c>
      <c r="C21" s="21" t="s">
        <v>318</v>
      </c>
      <c r="D21" s="21" t="s">
        <v>20</v>
      </c>
      <c r="E21" s="21" t="s">
        <v>1861</v>
      </c>
      <c r="F21" s="21" t="s">
        <v>1862</v>
      </c>
      <c r="G21" s="21" t="s">
        <v>1863</v>
      </c>
      <c r="H21" s="21" t="s">
        <v>55</v>
      </c>
      <c r="I21" s="38" t="s">
        <v>1864</v>
      </c>
      <c r="J21" s="22">
        <v>3</v>
      </c>
      <c r="K21" s="22">
        <v>0</v>
      </c>
    </row>
    <row r="22" spans="1:11" ht="37.5" x14ac:dyDescent="0.35">
      <c r="A22" s="22">
        <v>17</v>
      </c>
      <c r="B22" s="22" t="s">
        <v>336</v>
      </c>
      <c r="C22" s="21" t="s">
        <v>337</v>
      </c>
      <c r="D22" s="21" t="s">
        <v>20</v>
      </c>
      <c r="E22" s="21" t="s">
        <v>1867</v>
      </c>
      <c r="F22" s="21" t="s">
        <v>17</v>
      </c>
      <c r="G22" s="21" t="s">
        <v>30</v>
      </c>
      <c r="H22" s="21" t="s">
        <v>55</v>
      </c>
      <c r="I22" s="38" t="s">
        <v>1868</v>
      </c>
      <c r="J22" s="22">
        <v>3</v>
      </c>
      <c r="K22" s="22">
        <v>0</v>
      </c>
    </row>
    <row r="23" spans="1:11" ht="37.5" x14ac:dyDescent="0.35">
      <c r="A23" s="22">
        <v>18</v>
      </c>
      <c r="B23" s="12" t="s">
        <v>344</v>
      </c>
      <c r="C23" s="11" t="s">
        <v>345</v>
      </c>
      <c r="D23" s="11" t="s">
        <v>20</v>
      </c>
      <c r="E23" s="11" t="s">
        <v>1869</v>
      </c>
      <c r="F23" s="11" t="s">
        <v>234</v>
      </c>
      <c r="G23" s="11" t="s">
        <v>1870</v>
      </c>
      <c r="H23" s="11" t="s">
        <v>55</v>
      </c>
      <c r="I23" s="35" t="s">
        <v>1871</v>
      </c>
      <c r="J23" s="12">
        <v>3</v>
      </c>
      <c r="K23" s="12">
        <v>0</v>
      </c>
    </row>
    <row r="24" spans="1:11" ht="37.5" x14ac:dyDescent="0.35">
      <c r="A24" s="22">
        <v>19</v>
      </c>
      <c r="B24" s="22" t="s">
        <v>352</v>
      </c>
      <c r="C24" s="21" t="s">
        <v>353</v>
      </c>
      <c r="D24" s="21" t="s">
        <v>20</v>
      </c>
      <c r="E24" s="21" t="s">
        <v>1872</v>
      </c>
      <c r="F24" s="21" t="s">
        <v>17</v>
      </c>
      <c r="G24" s="21" t="s">
        <v>18</v>
      </c>
      <c r="H24" s="21" t="s">
        <v>55</v>
      </c>
      <c r="I24" s="38" t="s">
        <v>1873</v>
      </c>
      <c r="J24" s="22">
        <v>3</v>
      </c>
      <c r="K24" s="22">
        <v>0</v>
      </c>
    </row>
    <row r="25" spans="1:11" ht="50" x14ac:dyDescent="0.35">
      <c r="A25" s="22">
        <v>20</v>
      </c>
      <c r="B25" s="22" t="s">
        <v>386</v>
      </c>
      <c r="C25" s="21" t="s">
        <v>387</v>
      </c>
      <c r="D25" s="21" t="s">
        <v>20</v>
      </c>
      <c r="E25" s="21" t="s">
        <v>1880</v>
      </c>
      <c r="F25" s="21" t="s">
        <v>17</v>
      </c>
      <c r="G25" s="21" t="s">
        <v>92</v>
      </c>
      <c r="H25" s="21" t="s">
        <v>55</v>
      </c>
      <c r="I25" s="38" t="s">
        <v>1881</v>
      </c>
      <c r="J25" s="22">
        <v>3</v>
      </c>
      <c r="K25" s="22">
        <v>0</v>
      </c>
    </row>
    <row r="26" spans="1:11" ht="37.5" x14ac:dyDescent="0.35">
      <c r="A26" s="22">
        <v>21</v>
      </c>
      <c r="B26" s="22" t="s">
        <v>419</v>
      </c>
      <c r="C26" s="21" t="s">
        <v>420</v>
      </c>
      <c r="D26" s="21" t="s">
        <v>20</v>
      </c>
      <c r="E26" s="21" t="s">
        <v>1890</v>
      </c>
      <c r="F26" s="21" t="s">
        <v>17</v>
      </c>
      <c r="G26" s="21" t="s">
        <v>92</v>
      </c>
      <c r="H26" s="21" t="s">
        <v>55</v>
      </c>
      <c r="I26" s="38" t="s">
        <v>1891</v>
      </c>
      <c r="J26" s="22">
        <v>3</v>
      </c>
      <c r="K26" s="22">
        <v>0</v>
      </c>
    </row>
    <row r="27" spans="1:11" ht="37.5" x14ac:dyDescent="0.35">
      <c r="A27" s="22">
        <v>22</v>
      </c>
      <c r="B27" s="12" t="s">
        <v>427</v>
      </c>
      <c r="C27" s="11" t="s">
        <v>428</v>
      </c>
      <c r="D27" s="11" t="s">
        <v>20</v>
      </c>
      <c r="E27" s="11" t="s">
        <v>1892</v>
      </c>
      <c r="F27" s="11" t="s">
        <v>133</v>
      </c>
      <c r="G27" s="11" t="s">
        <v>92</v>
      </c>
      <c r="H27" s="11" t="s">
        <v>55</v>
      </c>
      <c r="I27" s="35" t="s">
        <v>1893</v>
      </c>
      <c r="J27" s="12">
        <v>3</v>
      </c>
      <c r="K27" s="12">
        <v>0</v>
      </c>
    </row>
    <row r="28" spans="1:11" ht="37.5" x14ac:dyDescent="0.35">
      <c r="A28" s="22">
        <v>23</v>
      </c>
      <c r="B28" s="22" t="s">
        <v>468</v>
      </c>
      <c r="C28" s="21" t="s">
        <v>469</v>
      </c>
      <c r="D28" s="21" t="s">
        <v>20</v>
      </c>
      <c r="E28" s="21" t="s">
        <v>1903</v>
      </c>
      <c r="F28" s="21" t="s">
        <v>17</v>
      </c>
      <c r="G28" s="21" t="s">
        <v>1904</v>
      </c>
      <c r="H28" s="21" t="s">
        <v>55</v>
      </c>
      <c r="I28" s="38" t="s">
        <v>1905</v>
      </c>
      <c r="J28" s="22">
        <v>3</v>
      </c>
      <c r="K28" s="22">
        <v>0</v>
      </c>
    </row>
    <row r="29" spans="1:11" ht="37.5" x14ac:dyDescent="0.35">
      <c r="A29" s="22">
        <v>24</v>
      </c>
      <c r="B29" s="12" t="s">
        <v>476</v>
      </c>
      <c r="C29" s="11" t="s">
        <v>477</v>
      </c>
      <c r="D29" s="11" t="s">
        <v>20</v>
      </c>
      <c r="E29" s="11" t="s">
        <v>1906</v>
      </c>
      <c r="F29" s="11" t="s">
        <v>17</v>
      </c>
      <c r="G29" s="11" t="s">
        <v>92</v>
      </c>
      <c r="H29" s="11" t="s">
        <v>55</v>
      </c>
      <c r="I29" s="35" t="s">
        <v>1907</v>
      </c>
      <c r="J29" s="12">
        <v>3</v>
      </c>
      <c r="K29" s="12">
        <v>0</v>
      </c>
    </row>
    <row r="30" spans="1:11" ht="87.5" x14ac:dyDescent="0.35">
      <c r="A30" s="22">
        <v>25</v>
      </c>
      <c r="B30" s="12" t="s">
        <v>492</v>
      </c>
      <c r="C30" s="11" t="s">
        <v>493</v>
      </c>
      <c r="D30" s="11" t="s">
        <v>20</v>
      </c>
      <c r="E30" s="11" t="s">
        <v>1910</v>
      </c>
      <c r="F30" s="11" t="s">
        <v>1911</v>
      </c>
      <c r="G30" s="11" t="s">
        <v>42</v>
      </c>
      <c r="H30" s="11" t="s">
        <v>1912</v>
      </c>
      <c r="I30" s="35" t="s">
        <v>1913</v>
      </c>
      <c r="J30" s="12">
        <v>3</v>
      </c>
      <c r="K30" s="12">
        <v>0</v>
      </c>
    </row>
    <row r="31" spans="1:11" ht="37.5" x14ac:dyDescent="0.35">
      <c r="A31" s="22">
        <v>26</v>
      </c>
      <c r="B31" s="22" t="s">
        <v>501</v>
      </c>
      <c r="C31" s="21" t="s">
        <v>502</v>
      </c>
      <c r="D31" s="21" t="s">
        <v>20</v>
      </c>
      <c r="E31" s="21" t="s">
        <v>1914</v>
      </c>
      <c r="F31" s="21" t="s">
        <v>17</v>
      </c>
      <c r="G31" s="21" t="s">
        <v>92</v>
      </c>
      <c r="H31" s="21" t="s">
        <v>55</v>
      </c>
      <c r="I31" s="38" t="s">
        <v>1915</v>
      </c>
      <c r="J31" s="22">
        <v>3</v>
      </c>
      <c r="K31" s="22">
        <v>0</v>
      </c>
    </row>
    <row r="32" spans="1:11" ht="37.5" x14ac:dyDescent="0.35">
      <c r="A32" s="22">
        <v>27</v>
      </c>
      <c r="B32" s="12" t="s">
        <v>509</v>
      </c>
      <c r="C32" s="11" t="s">
        <v>510</v>
      </c>
      <c r="D32" s="11" t="s">
        <v>20</v>
      </c>
      <c r="E32" s="11" t="s">
        <v>1916</v>
      </c>
      <c r="F32" s="11" t="s">
        <v>512</v>
      </c>
      <c r="G32" s="11" t="s">
        <v>1917</v>
      </c>
      <c r="H32" s="11" t="s">
        <v>55</v>
      </c>
      <c r="I32" s="35" t="s">
        <v>1918</v>
      </c>
      <c r="J32" s="12">
        <v>3</v>
      </c>
      <c r="K32" s="12">
        <v>0</v>
      </c>
    </row>
    <row r="33" spans="1:11" ht="50" x14ac:dyDescent="0.35">
      <c r="A33" s="22">
        <v>28</v>
      </c>
      <c r="B33" s="22" t="s">
        <v>518</v>
      </c>
      <c r="C33" s="21" t="s">
        <v>519</v>
      </c>
      <c r="D33" s="21" t="s">
        <v>20</v>
      </c>
      <c r="E33" s="21" t="s">
        <v>1919</v>
      </c>
      <c r="F33" s="21" t="s">
        <v>167</v>
      </c>
      <c r="G33" s="21" t="s">
        <v>92</v>
      </c>
      <c r="H33" s="21" t="s">
        <v>55</v>
      </c>
      <c r="I33" s="38" t="s">
        <v>1920</v>
      </c>
      <c r="J33" s="22">
        <v>3</v>
      </c>
      <c r="K33" s="22">
        <v>0</v>
      </c>
    </row>
    <row r="34" spans="1:11" ht="37.5" x14ac:dyDescent="0.35">
      <c r="A34" s="22">
        <v>29</v>
      </c>
      <c r="B34" s="12" t="s">
        <v>574</v>
      </c>
      <c r="C34" s="11" t="s">
        <v>575</v>
      </c>
      <c r="D34" s="11" t="s">
        <v>20</v>
      </c>
      <c r="E34" s="11" t="s">
        <v>1933</v>
      </c>
      <c r="F34" s="11" t="s">
        <v>577</v>
      </c>
      <c r="G34" s="11" t="s">
        <v>92</v>
      </c>
      <c r="H34" s="11" t="s">
        <v>55</v>
      </c>
      <c r="I34" s="35" t="s">
        <v>1934</v>
      </c>
      <c r="J34" s="12">
        <v>3</v>
      </c>
      <c r="K34" s="12">
        <v>0</v>
      </c>
    </row>
    <row r="35" spans="1:11" ht="37.5" x14ac:dyDescent="0.35">
      <c r="A35" s="22">
        <v>30</v>
      </c>
      <c r="B35" s="22" t="s">
        <v>583</v>
      </c>
      <c r="C35" s="21" t="s">
        <v>584</v>
      </c>
      <c r="D35" s="21" t="s">
        <v>20</v>
      </c>
      <c r="E35" s="21" t="s">
        <v>1935</v>
      </c>
      <c r="F35" s="21" t="s">
        <v>586</v>
      </c>
      <c r="G35" s="21" t="s">
        <v>42</v>
      </c>
      <c r="H35" s="21" t="s">
        <v>55</v>
      </c>
      <c r="I35" s="38" t="s">
        <v>1936</v>
      </c>
      <c r="J35" s="22">
        <v>3</v>
      </c>
      <c r="K35" s="22">
        <v>0</v>
      </c>
    </row>
    <row r="36" spans="1:11" ht="37.5" x14ac:dyDescent="0.35">
      <c r="A36" s="22">
        <v>31</v>
      </c>
      <c r="B36" s="12" t="s">
        <v>592</v>
      </c>
      <c r="C36" s="11" t="s">
        <v>593</v>
      </c>
      <c r="D36" s="11" t="s">
        <v>20</v>
      </c>
      <c r="E36" s="11" t="s">
        <v>1937</v>
      </c>
      <c r="F36" s="11" t="s">
        <v>17</v>
      </c>
      <c r="G36" s="11" t="s">
        <v>18</v>
      </c>
      <c r="H36" s="11" t="s">
        <v>55</v>
      </c>
      <c r="I36" s="35" t="s">
        <v>1938</v>
      </c>
      <c r="J36" s="12">
        <v>3</v>
      </c>
      <c r="K36" s="12">
        <v>0</v>
      </c>
    </row>
    <row r="37" spans="1:11" ht="75" x14ac:dyDescent="0.35">
      <c r="A37" s="22">
        <v>32</v>
      </c>
      <c r="B37" s="22" t="s">
        <v>600</v>
      </c>
      <c r="C37" s="21" t="s">
        <v>601</v>
      </c>
      <c r="D37" s="21" t="s">
        <v>20</v>
      </c>
      <c r="E37" s="21" t="s">
        <v>1939</v>
      </c>
      <c r="F37" s="21" t="s">
        <v>1940</v>
      </c>
      <c r="G37" s="21" t="s">
        <v>1870</v>
      </c>
      <c r="H37" s="21" t="s">
        <v>55</v>
      </c>
      <c r="I37" s="38" t="s">
        <v>1941</v>
      </c>
      <c r="J37" s="22">
        <v>3</v>
      </c>
      <c r="K37" s="22">
        <v>0</v>
      </c>
    </row>
    <row r="38" spans="1:11" ht="75" x14ac:dyDescent="0.35">
      <c r="A38" s="22">
        <v>33</v>
      </c>
      <c r="B38" s="12" t="s">
        <v>610</v>
      </c>
      <c r="C38" s="11" t="s">
        <v>611</v>
      </c>
      <c r="D38" s="11" t="s">
        <v>20</v>
      </c>
      <c r="E38" s="11" t="s">
        <v>1942</v>
      </c>
      <c r="F38" s="11" t="s">
        <v>1943</v>
      </c>
      <c r="G38" s="11" t="s">
        <v>1888</v>
      </c>
      <c r="H38" s="11" t="s">
        <v>55</v>
      </c>
      <c r="I38" s="35" t="s">
        <v>1944</v>
      </c>
      <c r="J38" s="12">
        <v>3</v>
      </c>
      <c r="K38" s="12">
        <v>0</v>
      </c>
    </row>
    <row r="39" spans="1:11" ht="37.5" x14ac:dyDescent="0.35">
      <c r="A39" s="22">
        <v>34</v>
      </c>
      <c r="B39" s="22" t="s">
        <v>635</v>
      </c>
      <c r="C39" s="21" t="s">
        <v>636</v>
      </c>
      <c r="D39" s="21" t="s">
        <v>20</v>
      </c>
      <c r="E39" s="21" t="s">
        <v>1949</v>
      </c>
      <c r="F39" s="21" t="s">
        <v>17</v>
      </c>
      <c r="G39" s="21" t="s">
        <v>324</v>
      </c>
      <c r="H39" s="21" t="s">
        <v>55</v>
      </c>
      <c r="I39" s="38" t="s">
        <v>1950</v>
      </c>
      <c r="J39" s="22">
        <v>3</v>
      </c>
      <c r="K39" s="22">
        <v>0</v>
      </c>
    </row>
    <row r="40" spans="1:11" ht="37.5" x14ac:dyDescent="0.35">
      <c r="A40" s="22">
        <v>35</v>
      </c>
      <c r="B40" s="12" t="s">
        <v>659</v>
      </c>
      <c r="C40" s="11" t="s">
        <v>660</v>
      </c>
      <c r="D40" s="11" t="s">
        <v>20</v>
      </c>
      <c r="E40" s="11" t="s">
        <v>1955</v>
      </c>
      <c r="F40" s="11" t="s">
        <v>17</v>
      </c>
      <c r="G40" s="11" t="s">
        <v>92</v>
      </c>
      <c r="H40" s="11" t="s">
        <v>55</v>
      </c>
      <c r="I40" s="35" t="s">
        <v>1956</v>
      </c>
      <c r="J40" s="12">
        <v>3</v>
      </c>
      <c r="K40" s="12">
        <v>0</v>
      </c>
    </row>
    <row r="41" spans="1:11" ht="37.5" x14ac:dyDescent="0.35">
      <c r="A41" s="22">
        <v>36</v>
      </c>
      <c r="B41" s="12" t="s">
        <v>675</v>
      </c>
      <c r="C41" s="11" t="s">
        <v>676</v>
      </c>
      <c r="D41" s="11" t="s">
        <v>20</v>
      </c>
      <c r="E41" s="11" t="s">
        <v>1959</v>
      </c>
      <c r="F41" s="11" t="s">
        <v>17</v>
      </c>
      <c r="G41" s="11" t="s">
        <v>30</v>
      </c>
      <c r="H41" s="11" t="s">
        <v>55</v>
      </c>
      <c r="I41" s="35" t="s">
        <v>1960</v>
      </c>
      <c r="J41" s="12">
        <v>3</v>
      </c>
      <c r="K41" s="12">
        <v>0</v>
      </c>
    </row>
    <row r="42" spans="1:11" ht="37.5" x14ac:dyDescent="0.35">
      <c r="A42" s="22">
        <v>37</v>
      </c>
      <c r="B42" s="12" t="s">
        <v>694</v>
      </c>
      <c r="C42" s="11" t="s">
        <v>695</v>
      </c>
      <c r="D42" s="11" t="s">
        <v>20</v>
      </c>
      <c r="E42" s="11" t="s">
        <v>1966</v>
      </c>
      <c r="F42" s="11" t="s">
        <v>17</v>
      </c>
      <c r="G42" s="11" t="s">
        <v>92</v>
      </c>
      <c r="H42" s="11" t="s">
        <v>55</v>
      </c>
      <c r="I42" s="35" t="s">
        <v>1967</v>
      </c>
      <c r="J42" s="12">
        <v>3</v>
      </c>
      <c r="K42" s="12">
        <v>0</v>
      </c>
    </row>
    <row r="43" spans="1:11" ht="37.5" x14ac:dyDescent="0.35">
      <c r="A43" s="22">
        <v>38</v>
      </c>
      <c r="B43" s="22" t="s">
        <v>702</v>
      </c>
      <c r="C43" s="21" t="s">
        <v>703</v>
      </c>
      <c r="D43" s="21" t="s">
        <v>20</v>
      </c>
      <c r="E43" s="21" t="s">
        <v>1968</v>
      </c>
      <c r="F43" s="21" t="s">
        <v>218</v>
      </c>
      <c r="G43" s="21" t="s">
        <v>42</v>
      </c>
      <c r="H43" s="21" t="s">
        <v>55</v>
      </c>
      <c r="I43" s="38" t="s">
        <v>1969</v>
      </c>
      <c r="J43" s="22">
        <v>3</v>
      </c>
      <c r="K43" s="22">
        <v>0</v>
      </c>
    </row>
    <row r="44" spans="1:11" ht="37.5" x14ac:dyDescent="0.35">
      <c r="A44" s="22">
        <v>39</v>
      </c>
      <c r="B44" s="12" t="s">
        <v>710</v>
      </c>
      <c r="C44" s="11" t="s">
        <v>711</v>
      </c>
      <c r="D44" s="11" t="s">
        <v>20</v>
      </c>
      <c r="E44" s="11" t="s">
        <v>1970</v>
      </c>
      <c r="F44" s="11" t="s">
        <v>192</v>
      </c>
      <c r="G44" s="11" t="s">
        <v>92</v>
      </c>
      <c r="H44" s="11" t="s">
        <v>55</v>
      </c>
      <c r="I44" s="35" t="s">
        <v>1971</v>
      </c>
      <c r="J44" s="12">
        <v>3</v>
      </c>
      <c r="K44" s="12">
        <v>0</v>
      </c>
    </row>
    <row r="45" spans="1:11" ht="37.5" x14ac:dyDescent="0.35">
      <c r="A45" s="22">
        <v>40</v>
      </c>
      <c r="B45" s="22" t="s">
        <v>718</v>
      </c>
      <c r="C45" s="21" t="s">
        <v>719</v>
      </c>
      <c r="D45" s="21" t="s">
        <v>20</v>
      </c>
      <c r="E45" s="21" t="s">
        <v>1972</v>
      </c>
      <c r="F45" s="21" t="s">
        <v>17</v>
      </c>
      <c r="G45" s="21" t="s">
        <v>18</v>
      </c>
      <c r="H45" s="21" t="s">
        <v>55</v>
      </c>
      <c r="I45" s="38" t="s">
        <v>1973</v>
      </c>
      <c r="J45" s="22">
        <v>3</v>
      </c>
      <c r="K45" s="22">
        <v>0</v>
      </c>
    </row>
    <row r="46" spans="1:11" ht="37.5" x14ac:dyDescent="0.35">
      <c r="A46" s="22">
        <v>41</v>
      </c>
      <c r="B46" s="12" t="s">
        <v>777</v>
      </c>
      <c r="C46" s="11" t="s">
        <v>759</v>
      </c>
      <c r="D46" s="11" t="s">
        <v>20</v>
      </c>
      <c r="E46" s="11" t="s">
        <v>1988</v>
      </c>
      <c r="F46" s="11" t="s">
        <v>779</v>
      </c>
      <c r="G46" s="11" t="s">
        <v>92</v>
      </c>
      <c r="H46" s="11" t="s">
        <v>55</v>
      </c>
      <c r="I46" s="35" t="s">
        <v>1989</v>
      </c>
      <c r="J46" s="12">
        <v>3</v>
      </c>
      <c r="K46" s="12">
        <v>0</v>
      </c>
    </row>
    <row r="47" spans="1:11" ht="37.5" x14ac:dyDescent="0.35">
      <c r="A47" s="22">
        <v>42</v>
      </c>
      <c r="B47" s="22" t="s">
        <v>785</v>
      </c>
      <c r="C47" s="21" t="s">
        <v>759</v>
      </c>
      <c r="D47" s="21" t="s">
        <v>20</v>
      </c>
      <c r="E47" s="21" t="s">
        <v>1990</v>
      </c>
      <c r="F47" s="21" t="s">
        <v>17</v>
      </c>
      <c r="G47" s="21" t="s">
        <v>18</v>
      </c>
      <c r="H47" s="21" t="s">
        <v>55</v>
      </c>
      <c r="I47" s="38" t="s">
        <v>1991</v>
      </c>
      <c r="J47" s="22">
        <v>3</v>
      </c>
      <c r="K47" s="22">
        <v>0</v>
      </c>
    </row>
    <row r="48" spans="1:11" ht="50" x14ac:dyDescent="0.35">
      <c r="A48" s="22">
        <v>43</v>
      </c>
      <c r="B48" s="22" t="s">
        <v>800</v>
      </c>
      <c r="C48" s="21" t="s">
        <v>801</v>
      </c>
      <c r="D48" s="21" t="s">
        <v>20</v>
      </c>
      <c r="E48" s="21" t="s">
        <v>1994</v>
      </c>
      <c r="F48" s="21" t="s">
        <v>17</v>
      </c>
      <c r="G48" s="21" t="s">
        <v>30</v>
      </c>
      <c r="H48" s="21" t="s">
        <v>1912</v>
      </c>
      <c r="I48" s="38" t="s">
        <v>1995</v>
      </c>
      <c r="J48" s="22">
        <v>3</v>
      </c>
      <c r="K48" s="22">
        <v>0</v>
      </c>
    </row>
    <row r="49" spans="1:11" ht="37.5" x14ac:dyDescent="0.35">
      <c r="A49" s="22">
        <v>44</v>
      </c>
      <c r="B49" s="22" t="s">
        <v>815</v>
      </c>
      <c r="C49" s="21" t="s">
        <v>801</v>
      </c>
      <c r="D49" s="21" t="s">
        <v>20</v>
      </c>
      <c r="E49" s="21" t="s">
        <v>1998</v>
      </c>
      <c r="F49" s="21" t="s">
        <v>17</v>
      </c>
      <c r="G49" s="21" t="s">
        <v>92</v>
      </c>
      <c r="H49" s="21" t="s">
        <v>55</v>
      </c>
      <c r="I49" s="38" t="s">
        <v>1999</v>
      </c>
      <c r="J49" s="22">
        <v>3</v>
      </c>
      <c r="K49" s="22">
        <v>0</v>
      </c>
    </row>
    <row r="50" spans="1:11" ht="37.5" x14ac:dyDescent="0.35">
      <c r="A50" s="22">
        <v>45</v>
      </c>
      <c r="B50" s="12" t="s">
        <v>854</v>
      </c>
      <c r="C50" s="11" t="s">
        <v>855</v>
      </c>
      <c r="D50" s="11" t="s">
        <v>20</v>
      </c>
      <c r="E50" s="11" t="s">
        <v>2009</v>
      </c>
      <c r="F50" s="11" t="s">
        <v>17</v>
      </c>
      <c r="G50" s="11" t="s">
        <v>30</v>
      </c>
      <c r="H50" s="11" t="s">
        <v>55</v>
      </c>
      <c r="I50" s="35" t="s">
        <v>2010</v>
      </c>
      <c r="J50" s="12">
        <v>3</v>
      </c>
      <c r="K50" s="12">
        <v>0</v>
      </c>
    </row>
    <row r="51" spans="1:11" ht="87.5" x14ac:dyDescent="0.35">
      <c r="A51" s="22">
        <v>46</v>
      </c>
      <c r="B51" s="22" t="s">
        <v>862</v>
      </c>
      <c r="C51" s="21" t="s">
        <v>863</v>
      </c>
      <c r="D51" s="21" t="s">
        <v>20</v>
      </c>
      <c r="E51" s="21" t="s">
        <v>2011</v>
      </c>
      <c r="F51" s="21" t="s">
        <v>2012</v>
      </c>
      <c r="G51" s="21" t="s">
        <v>2013</v>
      </c>
      <c r="H51" s="21" t="s">
        <v>55</v>
      </c>
      <c r="I51" s="38" t="s">
        <v>2014</v>
      </c>
      <c r="J51" s="22">
        <v>3</v>
      </c>
      <c r="K51" s="22">
        <v>0</v>
      </c>
    </row>
    <row r="52" spans="1:11" ht="37.5" x14ac:dyDescent="0.35">
      <c r="A52" s="22">
        <v>47</v>
      </c>
      <c r="B52" s="12" t="s">
        <v>870</v>
      </c>
      <c r="C52" s="11" t="s">
        <v>871</v>
      </c>
      <c r="D52" s="11" t="s">
        <v>20</v>
      </c>
      <c r="E52" s="11" t="s">
        <v>2015</v>
      </c>
      <c r="F52" s="11" t="s">
        <v>17</v>
      </c>
      <c r="G52" s="11" t="s">
        <v>30</v>
      </c>
      <c r="H52" s="11" t="s">
        <v>55</v>
      </c>
      <c r="I52" s="35" t="s">
        <v>2016</v>
      </c>
      <c r="J52" s="12">
        <v>3</v>
      </c>
      <c r="K52" s="12">
        <v>0</v>
      </c>
    </row>
    <row r="53" spans="1:11" ht="50" x14ac:dyDescent="0.35">
      <c r="A53" s="22">
        <v>48</v>
      </c>
      <c r="B53" s="22" t="s">
        <v>878</v>
      </c>
      <c r="C53" s="21" t="s">
        <v>879</v>
      </c>
      <c r="D53" s="21" t="s">
        <v>20</v>
      </c>
      <c r="E53" s="21" t="s">
        <v>2017</v>
      </c>
      <c r="F53" s="21" t="s">
        <v>438</v>
      </c>
      <c r="G53" s="21" t="s">
        <v>294</v>
      </c>
      <c r="H53" s="21" t="s">
        <v>55</v>
      </c>
      <c r="I53" s="38" t="s">
        <v>2018</v>
      </c>
      <c r="J53" s="22">
        <v>3</v>
      </c>
      <c r="K53" s="22">
        <v>0</v>
      </c>
    </row>
    <row r="54" spans="1:11" ht="37.5" x14ac:dyDescent="0.35">
      <c r="A54" s="22">
        <v>49</v>
      </c>
      <c r="B54" s="12" t="s">
        <v>886</v>
      </c>
      <c r="C54" s="11" t="s">
        <v>887</v>
      </c>
      <c r="D54" s="11" t="s">
        <v>20</v>
      </c>
      <c r="E54" s="11" t="s">
        <v>2019</v>
      </c>
      <c r="F54" s="11" t="s">
        <v>17</v>
      </c>
      <c r="G54" s="11" t="s">
        <v>92</v>
      </c>
      <c r="H54" s="11" t="s">
        <v>55</v>
      </c>
      <c r="I54" s="35" t="s">
        <v>2020</v>
      </c>
      <c r="J54" s="12">
        <v>3</v>
      </c>
      <c r="K54" s="12">
        <v>0</v>
      </c>
    </row>
    <row r="55" spans="1:11" ht="75" x14ac:dyDescent="0.35">
      <c r="A55" s="22">
        <v>50</v>
      </c>
      <c r="B55" s="22" t="s">
        <v>894</v>
      </c>
      <c r="C55" s="21" t="s">
        <v>895</v>
      </c>
      <c r="D55" s="21" t="s">
        <v>20</v>
      </c>
      <c r="E55" s="21" t="s">
        <v>2021</v>
      </c>
      <c r="F55" s="21" t="s">
        <v>2022</v>
      </c>
      <c r="G55" s="21" t="s">
        <v>92</v>
      </c>
      <c r="H55" s="21" t="s">
        <v>2023</v>
      </c>
      <c r="I55" s="38" t="s">
        <v>2024</v>
      </c>
      <c r="J55" s="22">
        <v>3</v>
      </c>
      <c r="K55" s="22">
        <v>0</v>
      </c>
    </row>
    <row r="56" spans="1:11" ht="62.5" x14ac:dyDescent="0.35">
      <c r="A56" s="22">
        <v>51</v>
      </c>
      <c r="B56" s="12" t="s">
        <v>903</v>
      </c>
      <c r="C56" s="11" t="s">
        <v>904</v>
      </c>
      <c r="D56" s="11" t="s">
        <v>20</v>
      </c>
      <c r="E56" s="11" t="s">
        <v>2025</v>
      </c>
      <c r="F56" s="11" t="s">
        <v>17</v>
      </c>
      <c r="G56" s="11" t="s">
        <v>2026</v>
      </c>
      <c r="H56" s="11" t="s">
        <v>1790</v>
      </c>
      <c r="I56" s="35" t="s">
        <v>2027</v>
      </c>
      <c r="J56" s="12">
        <v>3</v>
      </c>
      <c r="K56" s="12">
        <v>0</v>
      </c>
    </row>
    <row r="57" spans="1:11" ht="37.5" x14ac:dyDescent="0.35">
      <c r="A57" s="22">
        <v>52</v>
      </c>
      <c r="B57" s="12" t="s">
        <v>920</v>
      </c>
      <c r="C57" s="11" t="s">
        <v>921</v>
      </c>
      <c r="D57" s="11" t="s">
        <v>20</v>
      </c>
      <c r="E57" s="11" t="s">
        <v>2031</v>
      </c>
      <c r="F57" s="11" t="s">
        <v>17</v>
      </c>
      <c r="G57" s="11" t="s">
        <v>92</v>
      </c>
      <c r="H57" s="11" t="s">
        <v>55</v>
      </c>
      <c r="I57" s="35" t="s">
        <v>2032</v>
      </c>
      <c r="J57" s="12">
        <v>3</v>
      </c>
      <c r="K57" s="12">
        <v>0</v>
      </c>
    </row>
    <row r="58" spans="1:11" ht="37.5" x14ac:dyDescent="0.35">
      <c r="A58" s="22">
        <v>53</v>
      </c>
      <c r="B58" s="12" t="s">
        <v>936</v>
      </c>
      <c r="C58" s="11" t="s">
        <v>937</v>
      </c>
      <c r="D58" s="11" t="s">
        <v>20</v>
      </c>
      <c r="E58" s="11" t="s">
        <v>2035</v>
      </c>
      <c r="F58" s="11" t="s">
        <v>133</v>
      </c>
      <c r="G58" s="11" t="s">
        <v>92</v>
      </c>
      <c r="H58" s="11" t="s">
        <v>55</v>
      </c>
      <c r="I58" s="35" t="s">
        <v>2036</v>
      </c>
      <c r="J58" s="12">
        <v>3</v>
      </c>
      <c r="K58" s="12">
        <v>0</v>
      </c>
    </row>
    <row r="59" spans="1:11" ht="62.5" x14ac:dyDescent="0.35">
      <c r="A59" s="22">
        <v>54</v>
      </c>
      <c r="B59" s="22" t="s">
        <v>944</v>
      </c>
      <c r="C59" s="21" t="s">
        <v>945</v>
      </c>
      <c r="D59" s="21" t="s">
        <v>20</v>
      </c>
      <c r="E59" s="21" t="s">
        <v>2037</v>
      </c>
      <c r="F59" s="21" t="s">
        <v>218</v>
      </c>
      <c r="G59" s="21" t="s">
        <v>2038</v>
      </c>
      <c r="H59" s="21" t="s">
        <v>55</v>
      </c>
      <c r="I59" s="38" t="s">
        <v>2039</v>
      </c>
      <c r="J59" s="22">
        <v>3</v>
      </c>
      <c r="K59" s="22">
        <v>0</v>
      </c>
    </row>
    <row r="60" spans="1:11" ht="50" x14ac:dyDescent="0.35">
      <c r="A60" s="22">
        <v>55</v>
      </c>
      <c r="B60" s="22" t="s">
        <v>961</v>
      </c>
      <c r="C60" s="21" t="s">
        <v>962</v>
      </c>
      <c r="D60" s="21" t="s">
        <v>20</v>
      </c>
      <c r="E60" s="21" t="s">
        <v>2043</v>
      </c>
      <c r="F60" s="21" t="s">
        <v>17</v>
      </c>
      <c r="G60" s="21" t="s">
        <v>1789</v>
      </c>
      <c r="H60" s="21" t="s">
        <v>55</v>
      </c>
      <c r="I60" s="38" t="s">
        <v>2044</v>
      </c>
      <c r="J60" s="22">
        <v>3</v>
      </c>
      <c r="K60" s="22">
        <v>0</v>
      </c>
    </row>
    <row r="61" spans="1:11" ht="37.5" x14ac:dyDescent="0.35">
      <c r="A61" s="22">
        <v>56</v>
      </c>
      <c r="B61" s="12" t="s">
        <v>969</v>
      </c>
      <c r="C61" s="11" t="s">
        <v>970</v>
      </c>
      <c r="D61" s="11" t="s">
        <v>20</v>
      </c>
      <c r="E61" s="11" t="s">
        <v>2045</v>
      </c>
      <c r="F61" s="11" t="s">
        <v>234</v>
      </c>
      <c r="G61" s="11" t="s">
        <v>294</v>
      </c>
      <c r="H61" s="11" t="s">
        <v>55</v>
      </c>
      <c r="I61" s="35" t="s">
        <v>2046</v>
      </c>
      <c r="J61" s="12">
        <v>3</v>
      </c>
      <c r="K61" s="12">
        <v>0</v>
      </c>
    </row>
    <row r="62" spans="1:11" ht="50" x14ac:dyDescent="0.35">
      <c r="A62" s="22">
        <v>57</v>
      </c>
      <c r="B62" s="22" t="s">
        <v>977</v>
      </c>
      <c r="C62" s="21" t="s">
        <v>978</v>
      </c>
      <c r="D62" s="21" t="s">
        <v>20</v>
      </c>
      <c r="E62" s="21" t="s">
        <v>2047</v>
      </c>
      <c r="F62" s="21" t="s">
        <v>2048</v>
      </c>
      <c r="G62" s="21" t="s">
        <v>1800</v>
      </c>
      <c r="H62" s="21" t="s">
        <v>55</v>
      </c>
      <c r="I62" s="38" t="s">
        <v>2049</v>
      </c>
      <c r="J62" s="22">
        <v>3</v>
      </c>
      <c r="K62" s="22">
        <v>0</v>
      </c>
    </row>
    <row r="63" spans="1:11" ht="37.5" x14ac:dyDescent="0.35">
      <c r="A63" s="22">
        <v>58</v>
      </c>
      <c r="B63" s="12" t="s">
        <v>1018</v>
      </c>
      <c r="C63" s="11" t="s">
        <v>1019</v>
      </c>
      <c r="D63" s="11" t="s">
        <v>20</v>
      </c>
      <c r="E63" s="11" t="s">
        <v>2058</v>
      </c>
      <c r="F63" s="11" t="s">
        <v>17</v>
      </c>
      <c r="G63" s="11" t="s">
        <v>92</v>
      </c>
      <c r="H63" s="11" t="s">
        <v>55</v>
      </c>
      <c r="I63" s="35" t="s">
        <v>2059</v>
      </c>
      <c r="J63" s="12">
        <v>3</v>
      </c>
      <c r="K63" s="12">
        <v>0</v>
      </c>
    </row>
    <row r="64" spans="1:11" ht="37.5" x14ac:dyDescent="0.35">
      <c r="A64" s="22">
        <v>59</v>
      </c>
      <c r="B64" s="12" t="s">
        <v>1051</v>
      </c>
      <c r="C64" s="11" t="s">
        <v>1052</v>
      </c>
      <c r="D64" s="11" t="s">
        <v>20</v>
      </c>
      <c r="E64" s="11" t="s">
        <v>2068</v>
      </c>
      <c r="F64" s="11" t="s">
        <v>17</v>
      </c>
      <c r="G64" s="11" t="s">
        <v>92</v>
      </c>
      <c r="H64" s="11" t="s">
        <v>55</v>
      </c>
      <c r="I64" s="35" t="s">
        <v>2069</v>
      </c>
      <c r="J64" s="12">
        <v>3</v>
      </c>
      <c r="K64" s="12">
        <v>0</v>
      </c>
    </row>
    <row r="65" spans="1:11" ht="37.5" x14ac:dyDescent="0.35">
      <c r="A65" s="22">
        <v>60</v>
      </c>
      <c r="B65" s="12" t="s">
        <v>1067</v>
      </c>
      <c r="C65" s="11" t="s">
        <v>1068</v>
      </c>
      <c r="D65" s="11" t="s">
        <v>20</v>
      </c>
      <c r="E65" s="11" t="s">
        <v>2072</v>
      </c>
      <c r="F65" s="11" t="s">
        <v>438</v>
      </c>
      <c r="G65" s="11" t="s">
        <v>92</v>
      </c>
      <c r="H65" s="11" t="s">
        <v>55</v>
      </c>
      <c r="I65" s="35" t="s">
        <v>2073</v>
      </c>
      <c r="J65" s="12">
        <v>3</v>
      </c>
      <c r="K65" s="12">
        <v>0</v>
      </c>
    </row>
    <row r="66" spans="1:11" ht="37.5" x14ac:dyDescent="0.35">
      <c r="A66" s="22">
        <v>61</v>
      </c>
      <c r="B66" s="12" t="s">
        <v>1083</v>
      </c>
      <c r="C66" s="11" t="s">
        <v>1084</v>
      </c>
      <c r="D66" s="11" t="s">
        <v>20</v>
      </c>
      <c r="E66" s="11" t="s">
        <v>2076</v>
      </c>
      <c r="F66" s="11" t="s">
        <v>17</v>
      </c>
      <c r="G66" s="11" t="s">
        <v>2077</v>
      </c>
      <c r="H66" s="11" t="s">
        <v>55</v>
      </c>
      <c r="I66" s="35" t="s">
        <v>2078</v>
      </c>
      <c r="J66" s="12">
        <v>3</v>
      </c>
      <c r="K66" s="12">
        <v>0</v>
      </c>
    </row>
    <row r="67" spans="1:11" ht="50" x14ac:dyDescent="0.35">
      <c r="A67" s="22">
        <v>62</v>
      </c>
      <c r="B67" s="12" t="s">
        <v>1116</v>
      </c>
      <c r="C67" s="11" t="s">
        <v>1117</v>
      </c>
      <c r="D67" s="11" t="s">
        <v>20</v>
      </c>
      <c r="E67" s="11" t="s">
        <v>2088</v>
      </c>
      <c r="F67" s="11" t="s">
        <v>17</v>
      </c>
      <c r="G67" s="11" t="s">
        <v>1899</v>
      </c>
      <c r="H67" s="11" t="s">
        <v>55</v>
      </c>
      <c r="I67" s="35" t="s">
        <v>2089</v>
      </c>
      <c r="J67" s="12">
        <v>3</v>
      </c>
      <c r="K67" s="12">
        <v>0</v>
      </c>
    </row>
    <row r="68" spans="1:11" ht="37.5" x14ac:dyDescent="0.35">
      <c r="A68" s="22">
        <v>63</v>
      </c>
      <c r="B68" s="22" t="s">
        <v>1165</v>
      </c>
      <c r="C68" s="21" t="s">
        <v>1166</v>
      </c>
      <c r="D68" s="21" t="s">
        <v>20</v>
      </c>
      <c r="E68" s="21" t="s">
        <v>2102</v>
      </c>
      <c r="F68" s="21" t="s">
        <v>243</v>
      </c>
      <c r="G68" s="21" t="s">
        <v>92</v>
      </c>
      <c r="H68" s="21" t="s">
        <v>55</v>
      </c>
      <c r="I68" s="38" t="s">
        <v>2103</v>
      </c>
      <c r="J68" s="22">
        <v>3</v>
      </c>
      <c r="K68" s="22">
        <v>0</v>
      </c>
    </row>
    <row r="69" spans="1:11" ht="62.5" x14ac:dyDescent="0.35">
      <c r="A69" s="22">
        <v>64</v>
      </c>
      <c r="B69" s="12" t="s">
        <v>1173</v>
      </c>
      <c r="C69" s="11" t="s">
        <v>1174</v>
      </c>
      <c r="D69" s="11" t="s">
        <v>20</v>
      </c>
      <c r="E69" s="11" t="s">
        <v>2104</v>
      </c>
      <c r="F69" s="11" t="s">
        <v>17</v>
      </c>
      <c r="G69" s="11" t="s">
        <v>2105</v>
      </c>
      <c r="H69" s="11" t="s">
        <v>55</v>
      </c>
      <c r="I69" s="35" t="s">
        <v>2106</v>
      </c>
      <c r="J69" s="12">
        <v>3</v>
      </c>
      <c r="K69" s="12">
        <v>0</v>
      </c>
    </row>
    <row r="70" spans="1:11" ht="37.5" x14ac:dyDescent="0.35">
      <c r="A70" s="22">
        <v>65</v>
      </c>
      <c r="B70" s="22" t="s">
        <v>1181</v>
      </c>
      <c r="C70" s="21" t="s">
        <v>1182</v>
      </c>
      <c r="D70" s="21" t="s">
        <v>20</v>
      </c>
      <c r="E70" s="21" t="s">
        <v>2107</v>
      </c>
      <c r="F70" s="21" t="s">
        <v>17</v>
      </c>
      <c r="G70" s="21" t="s">
        <v>2108</v>
      </c>
      <c r="H70" s="21" t="s">
        <v>55</v>
      </c>
      <c r="I70" s="38" t="s">
        <v>2109</v>
      </c>
      <c r="J70" s="22">
        <v>3</v>
      </c>
      <c r="K70" s="22">
        <v>0</v>
      </c>
    </row>
    <row r="71" spans="1:11" ht="50" x14ac:dyDescent="0.35">
      <c r="A71" s="22">
        <v>66</v>
      </c>
      <c r="B71" s="22" t="s">
        <v>1229</v>
      </c>
      <c r="C71" s="21" t="s">
        <v>1230</v>
      </c>
      <c r="D71" s="21" t="s">
        <v>20</v>
      </c>
      <c r="E71" s="21" t="s">
        <v>2121</v>
      </c>
      <c r="F71" s="21" t="s">
        <v>167</v>
      </c>
      <c r="G71" s="21" t="s">
        <v>92</v>
      </c>
      <c r="H71" s="21" t="s">
        <v>55</v>
      </c>
      <c r="I71" s="38" t="s">
        <v>2122</v>
      </c>
      <c r="J71" s="22">
        <v>3</v>
      </c>
      <c r="K71" s="22">
        <v>0</v>
      </c>
    </row>
    <row r="72" spans="1:11" ht="50" x14ac:dyDescent="0.35">
      <c r="A72" s="22">
        <v>67</v>
      </c>
      <c r="B72" s="12" t="s">
        <v>1237</v>
      </c>
      <c r="C72" s="11" t="s">
        <v>1238</v>
      </c>
      <c r="D72" s="11" t="s">
        <v>20</v>
      </c>
      <c r="E72" s="11" t="s">
        <v>2123</v>
      </c>
      <c r="F72" s="11" t="s">
        <v>17</v>
      </c>
      <c r="G72" s="11" t="s">
        <v>1800</v>
      </c>
      <c r="H72" s="11" t="s">
        <v>55</v>
      </c>
      <c r="I72" s="35" t="s">
        <v>2124</v>
      </c>
      <c r="J72" s="12">
        <v>3</v>
      </c>
      <c r="K72" s="12">
        <v>0</v>
      </c>
    </row>
    <row r="73" spans="1:11" ht="37.5" x14ac:dyDescent="0.35">
      <c r="A73" s="22">
        <v>68</v>
      </c>
      <c r="B73" s="12" t="s">
        <v>1270</v>
      </c>
      <c r="C73" s="11" t="s">
        <v>1271</v>
      </c>
      <c r="D73" s="11" t="s">
        <v>20</v>
      </c>
      <c r="E73" s="11" t="s">
        <v>2131</v>
      </c>
      <c r="F73" s="11" t="s">
        <v>234</v>
      </c>
      <c r="G73" s="11" t="s">
        <v>42</v>
      </c>
      <c r="H73" s="11" t="s">
        <v>55</v>
      </c>
      <c r="I73" s="35" t="s">
        <v>2132</v>
      </c>
      <c r="J73" s="12">
        <v>3</v>
      </c>
      <c r="K73" s="12">
        <v>0</v>
      </c>
    </row>
    <row r="74" spans="1:11" ht="37.5" x14ac:dyDescent="0.35">
      <c r="A74" s="22">
        <v>69</v>
      </c>
      <c r="B74" s="22" t="s">
        <v>1278</v>
      </c>
      <c r="C74" s="21" t="s">
        <v>1279</v>
      </c>
      <c r="D74" s="21" t="s">
        <v>20</v>
      </c>
      <c r="E74" s="21" t="s">
        <v>2133</v>
      </c>
      <c r="F74" s="21" t="s">
        <v>17</v>
      </c>
      <c r="G74" s="21" t="s">
        <v>1811</v>
      </c>
      <c r="H74" s="21" t="s">
        <v>55</v>
      </c>
      <c r="I74" s="38" t="s">
        <v>2134</v>
      </c>
      <c r="J74" s="22">
        <v>3</v>
      </c>
      <c r="K74" s="22">
        <v>0</v>
      </c>
    </row>
    <row r="75" spans="1:11" ht="50" x14ac:dyDescent="0.35">
      <c r="A75" s="22">
        <v>70</v>
      </c>
      <c r="B75" s="12" t="s">
        <v>1302</v>
      </c>
      <c r="C75" s="11" t="s">
        <v>1303</v>
      </c>
      <c r="D75" s="11" t="s">
        <v>20</v>
      </c>
      <c r="E75" s="11" t="s">
        <v>2139</v>
      </c>
      <c r="F75" s="11" t="s">
        <v>1854</v>
      </c>
      <c r="G75" s="11" t="s">
        <v>2140</v>
      </c>
      <c r="H75" s="11" t="s">
        <v>55</v>
      </c>
      <c r="I75" s="35" t="s">
        <v>2141</v>
      </c>
      <c r="J75" s="12">
        <v>3</v>
      </c>
      <c r="K75" s="12">
        <v>0</v>
      </c>
    </row>
    <row r="76" spans="1:11" ht="50" x14ac:dyDescent="0.35">
      <c r="A76" s="22">
        <v>71</v>
      </c>
      <c r="B76" s="22" t="s">
        <v>1310</v>
      </c>
      <c r="C76" s="21" t="s">
        <v>1311</v>
      </c>
      <c r="D76" s="21" t="s">
        <v>20</v>
      </c>
      <c r="E76" s="21" t="s">
        <v>2142</v>
      </c>
      <c r="F76" s="21" t="s">
        <v>897</v>
      </c>
      <c r="G76" s="21" t="s">
        <v>92</v>
      </c>
      <c r="H76" s="21" t="s">
        <v>55</v>
      </c>
      <c r="I76" s="38" t="s">
        <v>2143</v>
      </c>
      <c r="J76" s="22">
        <v>3</v>
      </c>
      <c r="K76" s="22">
        <v>0</v>
      </c>
    </row>
    <row r="77" spans="1:11" ht="37.5" x14ac:dyDescent="0.35">
      <c r="A77" s="22">
        <v>72</v>
      </c>
      <c r="B77" s="22" t="s">
        <v>1326</v>
      </c>
      <c r="C77" s="21" t="s">
        <v>1327</v>
      </c>
      <c r="D77" s="21" t="s">
        <v>20</v>
      </c>
      <c r="E77" s="21" t="s">
        <v>2146</v>
      </c>
      <c r="F77" s="21" t="s">
        <v>17</v>
      </c>
      <c r="G77" s="21" t="s">
        <v>92</v>
      </c>
      <c r="H77" s="21" t="s">
        <v>55</v>
      </c>
      <c r="I77" s="38" t="s">
        <v>2147</v>
      </c>
      <c r="J77" s="22">
        <v>3</v>
      </c>
      <c r="K77" s="22">
        <v>0</v>
      </c>
    </row>
    <row r="78" spans="1:11" ht="37.5" x14ac:dyDescent="0.35">
      <c r="A78" s="22">
        <v>73</v>
      </c>
      <c r="B78" s="22" t="s">
        <v>1404</v>
      </c>
      <c r="C78" s="21" t="s">
        <v>1405</v>
      </c>
      <c r="D78" s="21" t="s">
        <v>20</v>
      </c>
      <c r="E78" s="21" t="s">
        <v>2170</v>
      </c>
      <c r="F78" s="21" t="s">
        <v>17</v>
      </c>
      <c r="G78" s="21" t="s">
        <v>42</v>
      </c>
      <c r="H78" s="21" t="s">
        <v>55</v>
      </c>
      <c r="I78" s="38" t="s">
        <v>2171</v>
      </c>
      <c r="J78" s="22">
        <v>3</v>
      </c>
      <c r="K78" s="22">
        <v>0</v>
      </c>
    </row>
    <row r="79" spans="1:11" ht="37.5" x14ac:dyDescent="0.35">
      <c r="A79" s="22">
        <v>74</v>
      </c>
      <c r="B79" s="22" t="s">
        <v>1436</v>
      </c>
      <c r="C79" s="21" t="s">
        <v>1437</v>
      </c>
      <c r="D79" s="21" t="s">
        <v>20</v>
      </c>
      <c r="E79" s="21" t="s">
        <v>2181</v>
      </c>
      <c r="F79" s="21" t="s">
        <v>17</v>
      </c>
      <c r="G79" s="21" t="s">
        <v>30</v>
      </c>
      <c r="H79" s="21" t="s">
        <v>55</v>
      </c>
      <c r="I79" s="38" t="s">
        <v>2182</v>
      </c>
      <c r="J79" s="22">
        <v>3</v>
      </c>
      <c r="K79" s="22">
        <v>0</v>
      </c>
    </row>
    <row r="80" spans="1:11" ht="37.5" x14ac:dyDescent="0.35">
      <c r="A80" s="22">
        <v>75</v>
      </c>
      <c r="B80" s="12" t="s">
        <v>1444</v>
      </c>
      <c r="C80" s="11" t="s">
        <v>1445</v>
      </c>
      <c r="D80" s="11" t="s">
        <v>20</v>
      </c>
      <c r="E80" s="11" t="s">
        <v>2183</v>
      </c>
      <c r="F80" s="11" t="s">
        <v>17</v>
      </c>
      <c r="G80" s="11" t="s">
        <v>30</v>
      </c>
      <c r="H80" s="11" t="s">
        <v>55</v>
      </c>
      <c r="I80" s="35" t="s">
        <v>2184</v>
      </c>
      <c r="J80" s="12">
        <v>3</v>
      </c>
      <c r="K80" s="12">
        <v>0</v>
      </c>
    </row>
    <row r="81" spans="1:11" ht="37.5" x14ac:dyDescent="0.35">
      <c r="A81" s="22">
        <v>76</v>
      </c>
      <c r="B81" s="22" t="s">
        <v>1452</v>
      </c>
      <c r="C81" s="21" t="s">
        <v>1453</v>
      </c>
      <c r="D81" s="21" t="s">
        <v>20</v>
      </c>
      <c r="E81" s="21" t="s">
        <v>2185</v>
      </c>
      <c r="F81" s="21" t="s">
        <v>17</v>
      </c>
      <c r="G81" s="21" t="s">
        <v>30</v>
      </c>
      <c r="H81" s="21" t="s">
        <v>55</v>
      </c>
      <c r="I81" s="38" t="s">
        <v>2186</v>
      </c>
      <c r="J81" s="22">
        <v>3</v>
      </c>
      <c r="K81" s="22">
        <v>0</v>
      </c>
    </row>
    <row r="82" spans="1:11" ht="37.5" x14ac:dyDescent="0.35">
      <c r="A82" s="22">
        <v>77</v>
      </c>
      <c r="B82" s="12" t="s">
        <v>1460</v>
      </c>
      <c r="C82" s="11" t="s">
        <v>1461</v>
      </c>
      <c r="D82" s="11" t="s">
        <v>1463</v>
      </c>
      <c r="E82" s="11" t="s">
        <v>2187</v>
      </c>
      <c r="F82" s="11" t="s">
        <v>17</v>
      </c>
      <c r="G82" s="11" t="s">
        <v>92</v>
      </c>
      <c r="H82" s="11" t="s">
        <v>55</v>
      </c>
      <c r="I82" s="35" t="s">
        <v>2188</v>
      </c>
      <c r="J82" s="12">
        <v>3</v>
      </c>
      <c r="K82" s="12">
        <v>0</v>
      </c>
    </row>
    <row r="83" spans="1:11" ht="62.5" x14ac:dyDescent="0.35">
      <c r="A83" s="22">
        <v>78</v>
      </c>
      <c r="B83" s="22" t="s">
        <v>1469</v>
      </c>
      <c r="C83" s="21" t="s">
        <v>1470</v>
      </c>
      <c r="D83" s="21" t="s">
        <v>1463</v>
      </c>
      <c r="E83" s="21" t="s">
        <v>2189</v>
      </c>
      <c r="F83" s="21" t="s">
        <v>2190</v>
      </c>
      <c r="G83" s="21" t="s">
        <v>2191</v>
      </c>
      <c r="H83" s="21" t="s">
        <v>55</v>
      </c>
      <c r="I83" s="38" t="s">
        <v>2192</v>
      </c>
      <c r="J83" s="22">
        <v>3</v>
      </c>
      <c r="K83" s="22">
        <v>0</v>
      </c>
    </row>
    <row r="84" spans="1:11" ht="50" x14ac:dyDescent="0.35">
      <c r="A84" s="22">
        <v>79</v>
      </c>
      <c r="B84" s="12" t="s">
        <v>1478</v>
      </c>
      <c r="C84" s="11" t="s">
        <v>1479</v>
      </c>
      <c r="D84" s="11" t="s">
        <v>1463</v>
      </c>
      <c r="E84" s="11" t="s">
        <v>2193</v>
      </c>
      <c r="F84" s="11" t="s">
        <v>1481</v>
      </c>
      <c r="G84" s="11" t="s">
        <v>92</v>
      </c>
      <c r="H84" s="11" t="s">
        <v>2023</v>
      </c>
      <c r="I84" s="35" t="s">
        <v>2194</v>
      </c>
      <c r="J84" s="12">
        <v>3</v>
      </c>
      <c r="K84" s="12">
        <v>0</v>
      </c>
    </row>
    <row r="85" spans="1:11" ht="37.5" x14ac:dyDescent="0.35">
      <c r="A85" s="22">
        <v>80</v>
      </c>
      <c r="B85" s="12" t="s">
        <v>1511</v>
      </c>
      <c r="C85" s="11" t="s">
        <v>1512</v>
      </c>
      <c r="D85" s="11" t="s">
        <v>1463</v>
      </c>
      <c r="E85" s="11" t="s">
        <v>2202</v>
      </c>
      <c r="F85" s="11" t="s">
        <v>17</v>
      </c>
      <c r="G85" s="11" t="s">
        <v>2203</v>
      </c>
      <c r="H85" s="11" t="s">
        <v>55</v>
      </c>
      <c r="I85" s="35" t="s">
        <v>2204</v>
      </c>
      <c r="J85" s="12">
        <v>3</v>
      </c>
      <c r="K85" s="12">
        <v>0</v>
      </c>
    </row>
    <row r="86" spans="1:11" ht="37.5" x14ac:dyDescent="0.35">
      <c r="A86" s="22">
        <v>81</v>
      </c>
      <c r="B86" s="12" t="s">
        <v>1527</v>
      </c>
      <c r="C86" s="11" t="s">
        <v>1528</v>
      </c>
      <c r="D86" s="11" t="s">
        <v>1463</v>
      </c>
      <c r="E86" s="11" t="s">
        <v>2209</v>
      </c>
      <c r="F86" s="11" t="s">
        <v>17</v>
      </c>
      <c r="G86" s="11" t="s">
        <v>300</v>
      </c>
      <c r="H86" s="11" t="s">
        <v>55</v>
      </c>
      <c r="I86" s="35" t="s">
        <v>2210</v>
      </c>
      <c r="J86" s="12">
        <v>3</v>
      </c>
      <c r="K86" s="12">
        <v>0</v>
      </c>
    </row>
    <row r="87" spans="1:11" ht="50" x14ac:dyDescent="0.35">
      <c r="A87" s="22">
        <v>82</v>
      </c>
      <c r="B87" s="12" t="s">
        <v>1543</v>
      </c>
      <c r="C87" s="11" t="s">
        <v>1544</v>
      </c>
      <c r="D87" s="11" t="s">
        <v>1463</v>
      </c>
      <c r="E87" s="11" t="s">
        <v>2213</v>
      </c>
      <c r="F87" s="11" t="s">
        <v>2214</v>
      </c>
      <c r="G87" s="11" t="s">
        <v>2140</v>
      </c>
      <c r="H87" s="11" t="s">
        <v>55</v>
      </c>
      <c r="I87" s="35" t="s">
        <v>2215</v>
      </c>
      <c r="J87" s="12">
        <v>3</v>
      </c>
      <c r="K87" s="12">
        <v>0</v>
      </c>
    </row>
    <row r="88" spans="1:11" ht="37.5" x14ac:dyDescent="0.35">
      <c r="A88" s="22">
        <v>83</v>
      </c>
      <c r="B88" s="22" t="s">
        <v>1552</v>
      </c>
      <c r="C88" s="21" t="s">
        <v>1553</v>
      </c>
      <c r="D88" s="21" t="s">
        <v>1463</v>
      </c>
      <c r="E88" s="21" t="s">
        <v>2216</v>
      </c>
      <c r="F88" s="21" t="s">
        <v>1555</v>
      </c>
      <c r="G88" s="21" t="s">
        <v>92</v>
      </c>
      <c r="H88" s="21" t="s">
        <v>55</v>
      </c>
      <c r="I88" s="38" t="s">
        <v>2217</v>
      </c>
      <c r="J88" s="22">
        <v>3</v>
      </c>
      <c r="K88" s="22">
        <v>0</v>
      </c>
    </row>
    <row r="89" spans="1:11" ht="37.5" x14ac:dyDescent="0.35">
      <c r="A89" s="22">
        <v>84</v>
      </c>
      <c r="B89" s="12" t="s">
        <v>1561</v>
      </c>
      <c r="C89" s="11" t="s">
        <v>1562</v>
      </c>
      <c r="D89" s="11" t="s">
        <v>1463</v>
      </c>
      <c r="E89" s="11" t="s">
        <v>2218</v>
      </c>
      <c r="F89" s="11" t="s">
        <v>133</v>
      </c>
      <c r="G89" s="11" t="s">
        <v>92</v>
      </c>
      <c r="H89" s="11" t="s">
        <v>55</v>
      </c>
      <c r="I89" s="35" t="s">
        <v>2219</v>
      </c>
      <c r="J89" s="12">
        <v>3</v>
      </c>
      <c r="K89" s="12">
        <v>0</v>
      </c>
    </row>
    <row r="90" spans="1:11" ht="62.5" x14ac:dyDescent="0.35">
      <c r="A90" s="22">
        <v>85</v>
      </c>
      <c r="B90" s="22" t="s">
        <v>1569</v>
      </c>
      <c r="C90" s="21" t="s">
        <v>1570</v>
      </c>
      <c r="D90" s="21" t="s">
        <v>1463</v>
      </c>
      <c r="E90" s="21" t="s">
        <v>2220</v>
      </c>
      <c r="F90" s="21" t="s">
        <v>17</v>
      </c>
      <c r="G90" s="21" t="s">
        <v>92</v>
      </c>
      <c r="H90" s="21" t="s">
        <v>55</v>
      </c>
      <c r="I90" s="38" t="s">
        <v>2221</v>
      </c>
      <c r="J90" s="22">
        <v>3</v>
      </c>
      <c r="K90" s="22">
        <v>0</v>
      </c>
    </row>
    <row r="91" spans="1:11" ht="62.5" x14ac:dyDescent="0.35">
      <c r="A91" s="22">
        <v>86</v>
      </c>
      <c r="B91" s="12" t="s">
        <v>1577</v>
      </c>
      <c r="C91" s="11" t="s">
        <v>1578</v>
      </c>
      <c r="D91" s="11" t="s">
        <v>1463</v>
      </c>
      <c r="E91" s="11" t="s">
        <v>2222</v>
      </c>
      <c r="F91" s="11" t="s">
        <v>2223</v>
      </c>
      <c r="G91" s="11" t="s">
        <v>2224</v>
      </c>
      <c r="H91" s="11" t="s">
        <v>2225</v>
      </c>
      <c r="I91" s="35" t="s">
        <v>2226</v>
      </c>
      <c r="J91" s="12">
        <v>3</v>
      </c>
      <c r="K91" s="12">
        <v>0</v>
      </c>
    </row>
    <row r="92" spans="1:11" ht="37.5" x14ac:dyDescent="0.35">
      <c r="A92" s="22">
        <v>87</v>
      </c>
      <c r="B92" s="12" t="s">
        <v>1594</v>
      </c>
      <c r="C92" s="11" t="s">
        <v>1595</v>
      </c>
      <c r="D92" s="11" t="s">
        <v>1463</v>
      </c>
      <c r="E92" s="11" t="s">
        <v>2229</v>
      </c>
      <c r="F92" s="11" t="s">
        <v>17</v>
      </c>
      <c r="G92" s="11" t="s">
        <v>300</v>
      </c>
      <c r="H92" s="11" t="s">
        <v>55</v>
      </c>
      <c r="I92" s="35" t="s">
        <v>2230</v>
      </c>
      <c r="J92" s="12">
        <v>3</v>
      </c>
      <c r="K92" s="12">
        <v>0</v>
      </c>
    </row>
    <row r="93" spans="1:11" ht="37.5" x14ac:dyDescent="0.35">
      <c r="A93" s="22">
        <v>88</v>
      </c>
      <c r="B93" s="22" t="s">
        <v>1602</v>
      </c>
      <c r="C93" s="21" t="s">
        <v>1603</v>
      </c>
      <c r="D93" s="21" t="s">
        <v>1463</v>
      </c>
      <c r="E93" s="21" t="s">
        <v>2231</v>
      </c>
      <c r="F93" s="21" t="s">
        <v>17</v>
      </c>
      <c r="G93" s="21" t="s">
        <v>92</v>
      </c>
      <c r="H93" s="21" t="s">
        <v>55</v>
      </c>
      <c r="I93" s="38" t="s">
        <v>2232</v>
      </c>
      <c r="J93" s="22">
        <v>3</v>
      </c>
      <c r="K93" s="22">
        <v>0</v>
      </c>
    </row>
    <row r="94" spans="1:11" ht="37.5" x14ac:dyDescent="0.35">
      <c r="A94" s="22">
        <v>89</v>
      </c>
      <c r="B94" s="12" t="s">
        <v>1610</v>
      </c>
      <c r="C94" s="11" t="s">
        <v>1611</v>
      </c>
      <c r="D94" s="11" t="s">
        <v>1463</v>
      </c>
      <c r="E94" s="11" t="s">
        <v>2233</v>
      </c>
      <c r="F94" s="11" t="s">
        <v>17</v>
      </c>
      <c r="G94" s="11" t="s">
        <v>30</v>
      </c>
      <c r="H94" s="11" t="s">
        <v>55</v>
      </c>
      <c r="I94" s="35" t="s">
        <v>2234</v>
      </c>
      <c r="J94" s="12">
        <v>3</v>
      </c>
      <c r="K94" s="12">
        <v>0</v>
      </c>
    </row>
    <row r="95" spans="1:11" ht="75" x14ac:dyDescent="0.35">
      <c r="A95" s="22">
        <v>90</v>
      </c>
      <c r="B95" s="22" t="s">
        <v>1618</v>
      </c>
      <c r="C95" s="21" t="s">
        <v>1619</v>
      </c>
      <c r="D95" s="21" t="s">
        <v>1463</v>
      </c>
      <c r="E95" s="21" t="s">
        <v>2235</v>
      </c>
      <c r="F95" s="21" t="s">
        <v>2236</v>
      </c>
      <c r="G95" s="21" t="s">
        <v>2026</v>
      </c>
      <c r="H95" s="21" t="s">
        <v>55</v>
      </c>
      <c r="I95" s="38" t="s">
        <v>2237</v>
      </c>
      <c r="J95" s="22">
        <v>3</v>
      </c>
      <c r="K95" s="22">
        <v>0</v>
      </c>
    </row>
    <row r="96" spans="1:11" ht="37.5" x14ac:dyDescent="0.35">
      <c r="A96" s="22">
        <v>91</v>
      </c>
      <c r="B96" s="12" t="s">
        <v>1627</v>
      </c>
      <c r="C96" s="11" t="s">
        <v>1628</v>
      </c>
      <c r="D96" s="11" t="s">
        <v>1463</v>
      </c>
      <c r="E96" s="11" t="s">
        <v>2238</v>
      </c>
      <c r="F96" s="11" t="s">
        <v>17</v>
      </c>
      <c r="G96" s="11" t="s">
        <v>92</v>
      </c>
      <c r="H96" s="11" t="s">
        <v>55</v>
      </c>
      <c r="I96" s="35" t="s">
        <v>2239</v>
      </c>
      <c r="J96" s="12">
        <v>3</v>
      </c>
      <c r="K96" s="12">
        <v>0</v>
      </c>
    </row>
    <row r="97" spans="1:11" ht="37.5" x14ac:dyDescent="0.35">
      <c r="A97" s="22">
        <v>92</v>
      </c>
      <c r="B97" s="22" t="s">
        <v>1635</v>
      </c>
      <c r="C97" s="21" t="s">
        <v>1636</v>
      </c>
      <c r="D97" s="21" t="s">
        <v>1463</v>
      </c>
      <c r="E97" s="21" t="s">
        <v>2240</v>
      </c>
      <c r="F97" s="21" t="s">
        <v>17</v>
      </c>
      <c r="G97" s="21" t="s">
        <v>30</v>
      </c>
      <c r="H97" s="21" t="s">
        <v>55</v>
      </c>
      <c r="I97" s="38" t="s">
        <v>2241</v>
      </c>
      <c r="J97" s="22">
        <v>3</v>
      </c>
      <c r="K97" s="22">
        <v>0</v>
      </c>
    </row>
    <row r="98" spans="1:11" ht="37.5" x14ac:dyDescent="0.35">
      <c r="A98" s="22">
        <v>93</v>
      </c>
      <c r="B98" s="12" t="s">
        <v>1643</v>
      </c>
      <c r="C98" s="11" t="s">
        <v>1644</v>
      </c>
      <c r="D98" s="11" t="s">
        <v>1463</v>
      </c>
      <c r="E98" s="11" t="s">
        <v>2242</v>
      </c>
      <c r="F98" s="11" t="s">
        <v>17</v>
      </c>
      <c r="G98" s="11" t="s">
        <v>92</v>
      </c>
      <c r="H98" s="11" t="s">
        <v>55</v>
      </c>
      <c r="I98" s="35" t="s">
        <v>2243</v>
      </c>
      <c r="J98" s="12">
        <v>3</v>
      </c>
      <c r="K98" s="12">
        <v>0</v>
      </c>
    </row>
    <row r="99" spans="1:11" ht="75" x14ac:dyDescent="0.35">
      <c r="A99" s="22">
        <v>94</v>
      </c>
      <c r="B99" s="22" t="s">
        <v>1651</v>
      </c>
      <c r="C99" s="21" t="s">
        <v>1652</v>
      </c>
      <c r="D99" s="21" t="s">
        <v>1463</v>
      </c>
      <c r="E99" s="21" t="s">
        <v>2244</v>
      </c>
      <c r="F99" s="21" t="s">
        <v>2245</v>
      </c>
      <c r="G99" s="21" t="s">
        <v>2026</v>
      </c>
      <c r="H99" s="21" t="s">
        <v>55</v>
      </c>
      <c r="I99" s="38" t="s">
        <v>2246</v>
      </c>
      <c r="J99" s="22">
        <v>3</v>
      </c>
      <c r="K99" s="22">
        <v>0</v>
      </c>
    </row>
    <row r="100" spans="1:11" ht="37.5" x14ac:dyDescent="0.35">
      <c r="A100" s="22">
        <v>95</v>
      </c>
      <c r="B100" s="22" t="s">
        <v>1668</v>
      </c>
      <c r="C100" s="21" t="s">
        <v>1669</v>
      </c>
      <c r="D100" s="21" t="s">
        <v>1463</v>
      </c>
      <c r="E100" s="21" t="s">
        <v>2249</v>
      </c>
      <c r="F100" s="21" t="s">
        <v>17</v>
      </c>
      <c r="G100" s="21" t="s">
        <v>18</v>
      </c>
      <c r="H100" s="21" t="s">
        <v>55</v>
      </c>
      <c r="I100" s="38" t="s">
        <v>2250</v>
      </c>
      <c r="J100" s="22">
        <v>3</v>
      </c>
      <c r="K100" s="22">
        <v>0</v>
      </c>
    </row>
    <row r="101" spans="1:11" ht="37.5" x14ac:dyDescent="0.35">
      <c r="A101" s="22">
        <v>96</v>
      </c>
      <c r="B101" s="12" t="s">
        <v>1676</v>
      </c>
      <c r="C101" s="11" t="s">
        <v>1677</v>
      </c>
      <c r="D101" s="11" t="s">
        <v>1679</v>
      </c>
      <c r="E101" s="11" t="s">
        <v>2251</v>
      </c>
      <c r="F101" s="11" t="s">
        <v>17</v>
      </c>
      <c r="G101" s="11" t="s">
        <v>2252</v>
      </c>
      <c r="H101" s="11" t="s">
        <v>55</v>
      </c>
      <c r="I101" s="35" t="s">
        <v>2253</v>
      </c>
      <c r="J101" s="12">
        <v>3</v>
      </c>
      <c r="K101" s="12">
        <v>0</v>
      </c>
    </row>
    <row r="102" spans="1:11" ht="62.5" x14ac:dyDescent="0.35">
      <c r="A102" s="22">
        <v>97</v>
      </c>
      <c r="B102" s="22" t="s">
        <v>1685</v>
      </c>
      <c r="C102" s="21" t="s">
        <v>1686</v>
      </c>
      <c r="D102" s="21" t="s">
        <v>1679</v>
      </c>
      <c r="E102" s="21" t="s">
        <v>2254</v>
      </c>
      <c r="F102" s="21" t="s">
        <v>17</v>
      </c>
      <c r="G102" s="21" t="s">
        <v>2255</v>
      </c>
      <c r="H102" s="21" t="s">
        <v>55</v>
      </c>
      <c r="I102" s="38" t="s">
        <v>2256</v>
      </c>
      <c r="J102" s="22">
        <v>3</v>
      </c>
      <c r="K102" s="22">
        <v>0</v>
      </c>
    </row>
    <row r="103" spans="1:11" ht="37.5" x14ac:dyDescent="0.35">
      <c r="A103" s="22">
        <v>98</v>
      </c>
      <c r="B103" s="12" t="s">
        <v>1694</v>
      </c>
      <c r="C103" s="11" t="s">
        <v>1695</v>
      </c>
      <c r="D103" s="11" t="s">
        <v>1679</v>
      </c>
      <c r="E103" s="11" t="s">
        <v>2257</v>
      </c>
      <c r="F103" s="11" t="s">
        <v>17</v>
      </c>
      <c r="G103" s="11" t="s">
        <v>37</v>
      </c>
      <c r="H103" s="11" t="s">
        <v>55</v>
      </c>
      <c r="I103" s="35" t="s">
        <v>2258</v>
      </c>
      <c r="J103" s="12">
        <v>3</v>
      </c>
      <c r="K103" s="12">
        <v>0</v>
      </c>
    </row>
    <row r="104" spans="1:11" ht="37.5" x14ac:dyDescent="0.35">
      <c r="A104" s="22">
        <v>99</v>
      </c>
      <c r="B104" s="22" t="s">
        <v>1702</v>
      </c>
      <c r="C104" s="21" t="s">
        <v>1703</v>
      </c>
      <c r="D104" s="21" t="s">
        <v>1679</v>
      </c>
      <c r="E104" s="21" t="s">
        <v>2259</v>
      </c>
      <c r="F104" s="21" t="s">
        <v>438</v>
      </c>
      <c r="G104" s="21" t="s">
        <v>324</v>
      </c>
      <c r="H104" s="21" t="s">
        <v>55</v>
      </c>
      <c r="I104" s="38" t="s">
        <v>2260</v>
      </c>
      <c r="J104" s="22">
        <v>3</v>
      </c>
      <c r="K104" s="22">
        <v>0</v>
      </c>
    </row>
    <row r="105" spans="1:11" ht="37.5" x14ac:dyDescent="0.35">
      <c r="A105" s="22">
        <v>100</v>
      </c>
      <c r="B105" s="12" t="s">
        <v>1710</v>
      </c>
      <c r="C105" s="11" t="s">
        <v>1711</v>
      </c>
      <c r="D105" s="11" t="s">
        <v>1679</v>
      </c>
      <c r="E105" s="11" t="s">
        <v>2261</v>
      </c>
      <c r="F105" s="11" t="s">
        <v>17</v>
      </c>
      <c r="G105" s="11" t="s">
        <v>30</v>
      </c>
      <c r="H105" s="11" t="s">
        <v>55</v>
      </c>
      <c r="I105" s="35" t="s">
        <v>2262</v>
      </c>
      <c r="J105" s="12">
        <v>3</v>
      </c>
      <c r="K105" s="12">
        <v>0</v>
      </c>
    </row>
    <row r="106" spans="1:11" ht="37.5" x14ac:dyDescent="0.35">
      <c r="A106" s="22">
        <v>101</v>
      </c>
      <c r="B106" s="22" t="s">
        <v>1734</v>
      </c>
      <c r="C106" s="21" t="s">
        <v>1735</v>
      </c>
      <c r="D106" s="21" t="s">
        <v>1679</v>
      </c>
      <c r="E106" s="21" t="s">
        <v>2267</v>
      </c>
      <c r="F106" s="21" t="s">
        <v>17</v>
      </c>
      <c r="G106" s="21" t="s">
        <v>30</v>
      </c>
      <c r="H106" s="21" t="s">
        <v>55</v>
      </c>
      <c r="I106" s="38" t="s">
        <v>2268</v>
      </c>
      <c r="J106" s="22">
        <v>3</v>
      </c>
      <c r="K106" s="22">
        <v>0</v>
      </c>
    </row>
    <row r="107" spans="1:11" ht="75" x14ac:dyDescent="0.35">
      <c r="A107" s="22">
        <v>102</v>
      </c>
      <c r="B107" s="12" t="s">
        <v>1742</v>
      </c>
      <c r="C107" s="11" t="s">
        <v>1743</v>
      </c>
      <c r="D107" s="11" t="s">
        <v>1746</v>
      </c>
      <c r="E107" s="11" t="s">
        <v>2269</v>
      </c>
      <c r="F107" s="11" t="s">
        <v>2270</v>
      </c>
      <c r="G107" s="11" t="s">
        <v>2271</v>
      </c>
      <c r="H107" s="11" t="s">
        <v>2225</v>
      </c>
      <c r="I107" s="35" t="s">
        <v>2272</v>
      </c>
      <c r="J107" s="12">
        <v>3</v>
      </c>
      <c r="K107" s="12">
        <v>0</v>
      </c>
    </row>
    <row r="108" spans="1:11" ht="50" x14ac:dyDescent="0.35">
      <c r="A108" s="22">
        <v>103</v>
      </c>
      <c r="B108" s="22" t="s">
        <v>1751</v>
      </c>
      <c r="C108" s="21" t="s">
        <v>1752</v>
      </c>
      <c r="D108" s="21" t="s">
        <v>1746</v>
      </c>
      <c r="E108" s="21" t="s">
        <v>2273</v>
      </c>
      <c r="F108" s="21" t="s">
        <v>577</v>
      </c>
      <c r="G108" s="21" t="s">
        <v>92</v>
      </c>
      <c r="H108" s="21" t="s">
        <v>55</v>
      </c>
      <c r="I108" s="38" t="s">
        <v>2272</v>
      </c>
      <c r="J108" s="22">
        <v>3</v>
      </c>
      <c r="K108" s="22">
        <v>0</v>
      </c>
    </row>
    <row r="109" spans="1:11" ht="37.5" x14ac:dyDescent="0.35">
      <c r="A109" s="22">
        <v>104</v>
      </c>
      <c r="B109" s="12" t="s">
        <v>1756</v>
      </c>
      <c r="C109" s="11" t="s">
        <v>1757</v>
      </c>
      <c r="D109" s="11" t="s">
        <v>1746</v>
      </c>
      <c r="E109" s="11" t="s">
        <v>2274</v>
      </c>
      <c r="F109" s="11" t="s">
        <v>243</v>
      </c>
      <c r="G109" s="11" t="s">
        <v>92</v>
      </c>
      <c r="H109" s="11" t="s">
        <v>55</v>
      </c>
      <c r="I109" s="35" t="s">
        <v>2272</v>
      </c>
      <c r="J109" s="12">
        <v>3</v>
      </c>
      <c r="K109" s="12">
        <v>0</v>
      </c>
    </row>
    <row r="110" spans="1:11" ht="37.5" x14ac:dyDescent="0.35">
      <c r="A110" s="22">
        <v>105</v>
      </c>
      <c r="B110" s="22" t="s">
        <v>1761</v>
      </c>
      <c r="C110" s="21" t="s">
        <v>1762</v>
      </c>
      <c r="D110" s="21" t="s">
        <v>1746</v>
      </c>
      <c r="E110" s="21" t="s">
        <v>2275</v>
      </c>
      <c r="F110" s="21" t="s">
        <v>577</v>
      </c>
      <c r="G110" s="21" t="s">
        <v>92</v>
      </c>
      <c r="H110" s="21" t="s">
        <v>55</v>
      </c>
      <c r="I110" s="38" t="s">
        <v>2272</v>
      </c>
      <c r="J110" s="22">
        <v>3</v>
      </c>
      <c r="K110" s="2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4EE8-2D16-4ED1-A3E7-57AF2A1F44DB}">
  <dimension ref="A5:L19"/>
  <sheetViews>
    <sheetView topLeftCell="A13" zoomScale="85" zoomScaleNormal="85" workbookViewId="0">
      <selection activeCell="O17" sqref="O17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50" x14ac:dyDescent="0.35">
      <c r="A6" s="12">
        <v>1</v>
      </c>
      <c r="B6" s="12" t="s">
        <v>189</v>
      </c>
      <c r="C6" s="11" t="s">
        <v>190</v>
      </c>
      <c r="D6" s="11" t="s">
        <v>20</v>
      </c>
      <c r="E6" s="11" t="s">
        <v>1828</v>
      </c>
      <c r="F6" s="11" t="s">
        <v>192</v>
      </c>
      <c r="G6" s="11" t="s">
        <v>1800</v>
      </c>
      <c r="H6" s="11" t="s">
        <v>193</v>
      </c>
      <c r="I6" s="35" t="s">
        <v>1829</v>
      </c>
      <c r="J6" s="12">
        <v>3</v>
      </c>
      <c r="K6" s="12">
        <v>0</v>
      </c>
      <c r="L6" s="44"/>
    </row>
    <row r="7" spans="1:12" ht="37.5" x14ac:dyDescent="0.35">
      <c r="A7" s="22">
        <v>2</v>
      </c>
      <c r="B7" s="22" t="s">
        <v>281</v>
      </c>
      <c r="C7" s="21" t="s">
        <v>282</v>
      </c>
      <c r="D7" s="21" t="s">
        <v>20</v>
      </c>
      <c r="E7" s="21" t="s">
        <v>1850</v>
      </c>
      <c r="F7" s="21" t="s">
        <v>284</v>
      </c>
      <c r="G7" s="21" t="s">
        <v>92</v>
      </c>
      <c r="H7" s="21" t="s">
        <v>1851</v>
      </c>
      <c r="I7" s="38" t="s">
        <v>1852</v>
      </c>
      <c r="J7" s="22">
        <v>3</v>
      </c>
      <c r="K7" s="22">
        <v>0</v>
      </c>
      <c r="L7" s="44"/>
    </row>
    <row r="8" spans="1:12" ht="37.5" x14ac:dyDescent="0.35">
      <c r="A8" s="12">
        <v>3</v>
      </c>
      <c r="B8" s="22" t="s">
        <v>619</v>
      </c>
      <c r="C8" s="21" t="s">
        <v>620</v>
      </c>
      <c r="D8" s="21" t="s">
        <v>20</v>
      </c>
      <c r="E8" s="21" t="s">
        <v>1945</v>
      </c>
      <c r="F8" s="21" t="s">
        <v>17</v>
      </c>
      <c r="G8" s="21" t="s">
        <v>42</v>
      </c>
      <c r="H8" s="21" t="s">
        <v>193</v>
      </c>
      <c r="I8" s="38" t="s">
        <v>1946</v>
      </c>
      <c r="J8" s="22">
        <v>3</v>
      </c>
      <c r="K8" s="22">
        <v>0</v>
      </c>
      <c r="L8" s="44"/>
    </row>
    <row r="9" spans="1:12" ht="37.5" x14ac:dyDescent="0.35">
      <c r="A9" s="22">
        <v>4</v>
      </c>
      <c r="B9" s="12" t="s">
        <v>627</v>
      </c>
      <c r="C9" s="11" t="s">
        <v>628</v>
      </c>
      <c r="D9" s="11" t="s">
        <v>20</v>
      </c>
      <c r="E9" s="11" t="s">
        <v>1947</v>
      </c>
      <c r="F9" s="11" t="s">
        <v>553</v>
      </c>
      <c r="G9" s="11" t="s">
        <v>294</v>
      </c>
      <c r="H9" s="11" t="s">
        <v>193</v>
      </c>
      <c r="I9" s="35" t="s">
        <v>1948</v>
      </c>
      <c r="J9" s="12">
        <v>3</v>
      </c>
      <c r="K9" s="12">
        <v>0</v>
      </c>
      <c r="L9" s="44"/>
    </row>
    <row r="10" spans="1:12" ht="62.5" x14ac:dyDescent="0.35">
      <c r="A10" s="12">
        <v>5</v>
      </c>
      <c r="B10" s="22" t="s">
        <v>683</v>
      </c>
      <c r="C10" s="21" t="s">
        <v>684</v>
      </c>
      <c r="D10" s="21" t="s">
        <v>20</v>
      </c>
      <c r="E10" s="21" t="s">
        <v>1961</v>
      </c>
      <c r="F10" s="21" t="s">
        <v>1962</v>
      </c>
      <c r="G10" s="21" t="s">
        <v>1963</v>
      </c>
      <c r="H10" s="21" t="s">
        <v>1964</v>
      </c>
      <c r="I10" s="38" t="s">
        <v>1965</v>
      </c>
      <c r="J10" s="22">
        <v>3</v>
      </c>
      <c r="K10" s="22">
        <v>0</v>
      </c>
      <c r="L10" s="44"/>
    </row>
    <row r="11" spans="1:12" ht="75" x14ac:dyDescent="0.35">
      <c r="A11" s="22">
        <v>6</v>
      </c>
      <c r="B11" s="22" t="s">
        <v>1091</v>
      </c>
      <c r="C11" s="21" t="s">
        <v>1092</v>
      </c>
      <c r="D11" s="21" t="s">
        <v>20</v>
      </c>
      <c r="E11" s="21" t="s">
        <v>2079</v>
      </c>
      <c r="F11" s="21" t="s">
        <v>2080</v>
      </c>
      <c r="G11" s="21" t="s">
        <v>2081</v>
      </c>
      <c r="H11" s="21" t="s">
        <v>1851</v>
      </c>
      <c r="I11" s="38" t="s">
        <v>2082</v>
      </c>
      <c r="J11" s="22">
        <v>3</v>
      </c>
      <c r="K11" s="22">
        <v>0</v>
      </c>
      <c r="L11" s="44"/>
    </row>
    <row r="12" spans="1:12" ht="37.5" x14ac:dyDescent="0.35">
      <c r="A12" s="12">
        <v>7</v>
      </c>
      <c r="B12" s="12" t="s">
        <v>1148</v>
      </c>
      <c r="C12" s="11" t="s">
        <v>1149</v>
      </c>
      <c r="D12" s="11" t="s">
        <v>20</v>
      </c>
      <c r="E12" s="11" t="s">
        <v>2097</v>
      </c>
      <c r="F12" s="11" t="s">
        <v>17</v>
      </c>
      <c r="G12" s="11" t="s">
        <v>92</v>
      </c>
      <c r="H12" s="11" t="s">
        <v>193</v>
      </c>
      <c r="I12" s="35" t="s">
        <v>2098</v>
      </c>
      <c r="J12" s="12">
        <v>3</v>
      </c>
      <c r="K12" s="12">
        <v>0</v>
      </c>
    </row>
    <row r="13" spans="1:12" ht="62.5" x14ac:dyDescent="0.35">
      <c r="A13" s="22">
        <v>8</v>
      </c>
      <c r="B13" s="12" t="s">
        <v>1253</v>
      </c>
      <c r="C13" s="11" t="s">
        <v>1254</v>
      </c>
      <c r="D13" s="11" t="s">
        <v>20</v>
      </c>
      <c r="E13" s="11" t="s">
        <v>2127</v>
      </c>
      <c r="F13" s="11" t="s">
        <v>167</v>
      </c>
      <c r="G13" s="11" t="s">
        <v>2105</v>
      </c>
      <c r="H13" s="11" t="s">
        <v>1851</v>
      </c>
      <c r="I13" s="35" t="s">
        <v>2128</v>
      </c>
      <c r="J13" s="12">
        <v>3</v>
      </c>
      <c r="K13" s="12">
        <v>0</v>
      </c>
    </row>
    <row r="14" spans="1:12" ht="37.5" x14ac:dyDescent="0.35">
      <c r="A14" s="12">
        <v>9</v>
      </c>
      <c r="B14" s="12" t="s">
        <v>1318</v>
      </c>
      <c r="C14" s="11" t="s">
        <v>1319</v>
      </c>
      <c r="D14" s="11" t="s">
        <v>20</v>
      </c>
      <c r="E14" s="11" t="s">
        <v>2144</v>
      </c>
      <c r="F14" s="11" t="s">
        <v>553</v>
      </c>
      <c r="G14" s="11" t="s">
        <v>42</v>
      </c>
      <c r="H14" s="11" t="s">
        <v>193</v>
      </c>
      <c r="I14" s="35" t="s">
        <v>2145</v>
      </c>
      <c r="J14" s="12">
        <v>3</v>
      </c>
      <c r="K14" s="12">
        <v>0</v>
      </c>
    </row>
    <row r="15" spans="1:12" ht="50" x14ac:dyDescent="0.35">
      <c r="A15" s="22">
        <v>10</v>
      </c>
      <c r="B15" s="22" t="s">
        <v>1341</v>
      </c>
      <c r="C15" s="21" t="s">
        <v>1327</v>
      </c>
      <c r="D15" s="21" t="s">
        <v>20</v>
      </c>
      <c r="E15" s="21" t="s">
        <v>2151</v>
      </c>
      <c r="F15" s="21" t="s">
        <v>17</v>
      </c>
      <c r="G15" s="21" t="s">
        <v>92</v>
      </c>
      <c r="H15" s="21" t="s">
        <v>193</v>
      </c>
      <c r="I15" s="38" t="s">
        <v>2152</v>
      </c>
      <c r="J15" s="22">
        <v>3</v>
      </c>
      <c r="K15" s="22">
        <v>0</v>
      </c>
    </row>
    <row r="16" spans="1:12" ht="37.5" x14ac:dyDescent="0.35">
      <c r="A16" s="12">
        <v>11</v>
      </c>
      <c r="B16" s="12" t="s">
        <v>1396</v>
      </c>
      <c r="C16" s="11" t="s">
        <v>1397</v>
      </c>
      <c r="D16" s="11" t="s">
        <v>20</v>
      </c>
      <c r="E16" s="11" t="s">
        <v>2167</v>
      </c>
      <c r="F16" s="11" t="s">
        <v>320</v>
      </c>
      <c r="G16" s="11" t="s">
        <v>1811</v>
      </c>
      <c r="H16" s="11" t="s">
        <v>2168</v>
      </c>
      <c r="I16" s="35" t="s">
        <v>2169</v>
      </c>
      <c r="J16" s="12">
        <v>3</v>
      </c>
      <c r="K16" s="12">
        <v>0</v>
      </c>
    </row>
    <row r="17" spans="1:11" ht="37.5" x14ac:dyDescent="0.35">
      <c r="A17" s="22">
        <v>12</v>
      </c>
      <c r="B17" s="12" t="s">
        <v>1412</v>
      </c>
      <c r="C17" s="11" t="s">
        <v>1413</v>
      </c>
      <c r="D17" s="11" t="s">
        <v>20</v>
      </c>
      <c r="E17" s="11" t="s">
        <v>2172</v>
      </c>
      <c r="F17" s="11" t="s">
        <v>17</v>
      </c>
      <c r="G17" s="11" t="s">
        <v>2173</v>
      </c>
      <c r="H17" s="11" t="s">
        <v>2174</v>
      </c>
      <c r="I17" s="35" t="s">
        <v>2175</v>
      </c>
      <c r="J17" s="12">
        <v>3</v>
      </c>
      <c r="K17" s="12">
        <v>0</v>
      </c>
    </row>
    <row r="18" spans="1:11" ht="37.5" x14ac:dyDescent="0.35">
      <c r="A18" s="12">
        <v>13</v>
      </c>
      <c r="B18" s="22" t="s">
        <v>1487</v>
      </c>
      <c r="C18" s="21" t="s">
        <v>1488</v>
      </c>
      <c r="D18" s="21" t="s">
        <v>1463</v>
      </c>
      <c r="E18" s="21" t="s">
        <v>2195</v>
      </c>
      <c r="F18" s="21" t="s">
        <v>17</v>
      </c>
      <c r="G18" s="21" t="s">
        <v>92</v>
      </c>
      <c r="H18" s="21" t="s">
        <v>2196</v>
      </c>
      <c r="I18" s="38" t="s">
        <v>2197</v>
      </c>
      <c r="J18" s="22">
        <v>3</v>
      </c>
      <c r="K18" s="22">
        <v>0</v>
      </c>
    </row>
    <row r="19" spans="1:11" ht="50" x14ac:dyDescent="0.35">
      <c r="A19" s="22">
        <v>14</v>
      </c>
      <c r="B19" s="22" t="s">
        <v>1519</v>
      </c>
      <c r="C19" s="21" t="s">
        <v>1520</v>
      </c>
      <c r="D19" s="21" t="s">
        <v>1463</v>
      </c>
      <c r="E19" s="21" t="s">
        <v>2205</v>
      </c>
      <c r="F19" s="21" t="s">
        <v>167</v>
      </c>
      <c r="G19" s="21" t="s">
        <v>2206</v>
      </c>
      <c r="H19" s="21" t="s">
        <v>2207</v>
      </c>
      <c r="I19" s="38" t="s">
        <v>2208</v>
      </c>
      <c r="J19" s="22">
        <v>3</v>
      </c>
      <c r="K19" s="2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4F07-C539-4CBB-A54F-E6DBEC7F6F7B}">
  <dimension ref="A5:L150"/>
  <sheetViews>
    <sheetView topLeftCell="A148" zoomScale="85" zoomScaleNormal="85" workbookViewId="0">
      <selection activeCell="F156" sqref="F156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37.5" x14ac:dyDescent="0.35">
      <c r="A6" s="12">
        <v>1</v>
      </c>
      <c r="B6" s="12" t="s">
        <v>13</v>
      </c>
      <c r="C6" s="11" t="s">
        <v>14</v>
      </c>
      <c r="D6" s="11" t="s">
        <v>20</v>
      </c>
      <c r="E6" s="11" t="s">
        <v>1781</v>
      </c>
      <c r="F6" s="11" t="s">
        <v>17</v>
      </c>
      <c r="G6" s="11" t="s">
        <v>18</v>
      </c>
      <c r="H6" s="11" t="s">
        <v>19</v>
      </c>
      <c r="I6" s="35" t="s">
        <v>1782</v>
      </c>
      <c r="J6" s="12">
        <v>3</v>
      </c>
      <c r="K6" s="12">
        <v>0</v>
      </c>
      <c r="L6" s="44"/>
    </row>
    <row r="7" spans="1:12" ht="37.5" x14ac:dyDescent="0.35">
      <c r="A7" s="22">
        <v>2</v>
      </c>
      <c r="B7" s="22" t="s">
        <v>27</v>
      </c>
      <c r="C7" s="21" t="s">
        <v>28</v>
      </c>
      <c r="D7" s="21" t="s">
        <v>20</v>
      </c>
      <c r="E7" s="21" t="s">
        <v>1783</v>
      </c>
      <c r="F7" s="21" t="s">
        <v>17</v>
      </c>
      <c r="G7" s="21" t="s">
        <v>1784</v>
      </c>
      <c r="H7" s="21" t="s">
        <v>31</v>
      </c>
      <c r="I7" s="38" t="s">
        <v>1785</v>
      </c>
      <c r="J7" s="22">
        <v>3</v>
      </c>
      <c r="K7" s="22">
        <v>0</v>
      </c>
      <c r="L7" s="44"/>
    </row>
    <row r="8" spans="1:12" ht="37.5" x14ac:dyDescent="0.35">
      <c r="A8" s="12">
        <v>3</v>
      </c>
      <c r="B8" s="12" t="s">
        <v>39</v>
      </c>
      <c r="C8" s="11" t="s">
        <v>40</v>
      </c>
      <c r="D8" s="11" t="s">
        <v>20</v>
      </c>
      <c r="E8" s="11" t="s">
        <v>1786</v>
      </c>
      <c r="F8" s="11" t="s">
        <v>17</v>
      </c>
      <c r="G8" s="11" t="s">
        <v>42</v>
      </c>
      <c r="H8" s="11" t="s">
        <v>31</v>
      </c>
      <c r="I8" s="35" t="s">
        <v>1787</v>
      </c>
      <c r="J8" s="12">
        <v>3</v>
      </c>
      <c r="K8" s="12">
        <v>0</v>
      </c>
      <c r="L8" s="44"/>
    </row>
    <row r="9" spans="1:12" ht="37.5" x14ac:dyDescent="0.35">
      <c r="A9" s="22">
        <v>4</v>
      </c>
      <c r="B9" s="22" t="s">
        <v>48</v>
      </c>
      <c r="C9" s="21" t="s">
        <v>49</v>
      </c>
      <c r="D9" s="21" t="s">
        <v>20</v>
      </c>
      <c r="E9" s="21" t="s">
        <v>1788</v>
      </c>
      <c r="F9" s="21" t="s">
        <v>17</v>
      </c>
      <c r="G9" s="21" t="s">
        <v>1789</v>
      </c>
      <c r="H9" s="21" t="s">
        <v>1790</v>
      </c>
      <c r="I9" s="38" t="s">
        <v>1791</v>
      </c>
      <c r="J9" s="22">
        <v>3</v>
      </c>
      <c r="K9" s="22">
        <v>0</v>
      </c>
      <c r="L9" s="44"/>
    </row>
    <row r="10" spans="1:12" ht="37.5" x14ac:dyDescent="0.35">
      <c r="A10" s="12">
        <v>5</v>
      </c>
      <c r="B10" s="12" t="s">
        <v>57</v>
      </c>
      <c r="C10" s="11" t="s">
        <v>58</v>
      </c>
      <c r="D10" s="11" t="s">
        <v>20</v>
      </c>
      <c r="E10" s="11" t="s">
        <v>1792</v>
      </c>
      <c r="F10" s="11" t="s">
        <v>17</v>
      </c>
      <c r="G10" s="11" t="s">
        <v>18</v>
      </c>
      <c r="H10" s="11" t="s">
        <v>31</v>
      </c>
      <c r="I10" s="35" t="s">
        <v>1793</v>
      </c>
      <c r="J10" s="12">
        <v>3</v>
      </c>
      <c r="K10" s="12">
        <v>0</v>
      </c>
      <c r="L10" s="44"/>
    </row>
    <row r="11" spans="1:12" ht="50" x14ac:dyDescent="0.35">
      <c r="A11" s="22">
        <v>6</v>
      </c>
      <c r="B11" s="22" t="s">
        <v>65</v>
      </c>
      <c r="C11" s="21" t="s">
        <v>66</v>
      </c>
      <c r="D11" s="21" t="s">
        <v>20</v>
      </c>
      <c r="E11" s="21" t="s">
        <v>1794</v>
      </c>
      <c r="F11" s="21" t="s">
        <v>17</v>
      </c>
      <c r="G11" s="21" t="s">
        <v>1795</v>
      </c>
      <c r="H11" s="21" t="s">
        <v>55</v>
      </c>
      <c r="I11" s="38" t="s">
        <v>1796</v>
      </c>
      <c r="J11" s="22">
        <v>3</v>
      </c>
      <c r="K11" s="22">
        <v>0</v>
      </c>
      <c r="L11" s="44"/>
    </row>
    <row r="12" spans="1:12" ht="37.5" x14ac:dyDescent="0.35">
      <c r="A12" s="12">
        <v>7</v>
      </c>
      <c r="B12" s="12" t="s">
        <v>73</v>
      </c>
      <c r="C12" s="11" t="s">
        <v>74</v>
      </c>
      <c r="D12" s="11" t="s">
        <v>20</v>
      </c>
      <c r="E12" s="11" t="s">
        <v>1797</v>
      </c>
      <c r="F12" s="11" t="s">
        <v>17</v>
      </c>
      <c r="G12" s="11" t="s">
        <v>30</v>
      </c>
      <c r="H12" s="11" t="s">
        <v>31</v>
      </c>
      <c r="I12" s="35" t="s">
        <v>1798</v>
      </c>
      <c r="J12" s="12">
        <v>3</v>
      </c>
      <c r="K12" s="12">
        <v>0</v>
      </c>
      <c r="L12" s="44"/>
    </row>
    <row r="13" spans="1:12" ht="50" x14ac:dyDescent="0.35">
      <c r="A13" s="22">
        <v>8</v>
      </c>
      <c r="B13" s="22" t="s">
        <v>81</v>
      </c>
      <c r="C13" s="21" t="s">
        <v>82</v>
      </c>
      <c r="D13" s="21" t="s">
        <v>20</v>
      </c>
      <c r="E13" s="21" t="s">
        <v>1799</v>
      </c>
      <c r="F13" s="21" t="s">
        <v>17</v>
      </c>
      <c r="G13" s="21" t="s">
        <v>1800</v>
      </c>
      <c r="H13" s="21" t="s">
        <v>55</v>
      </c>
      <c r="I13" s="38" t="s">
        <v>1801</v>
      </c>
      <c r="J13" s="22">
        <v>3</v>
      </c>
      <c r="K13" s="22">
        <v>0</v>
      </c>
      <c r="L13" s="44"/>
    </row>
    <row r="14" spans="1:12" ht="37.5" x14ac:dyDescent="0.35">
      <c r="A14" s="12">
        <v>9</v>
      </c>
      <c r="B14" s="12" t="s">
        <v>89</v>
      </c>
      <c r="C14" s="11" t="s">
        <v>90</v>
      </c>
      <c r="D14" s="11" t="s">
        <v>20</v>
      </c>
      <c r="E14" s="11" t="s">
        <v>1802</v>
      </c>
      <c r="F14" s="11" t="s">
        <v>17</v>
      </c>
      <c r="G14" s="11" t="s">
        <v>92</v>
      </c>
      <c r="H14" s="11" t="s">
        <v>55</v>
      </c>
      <c r="I14" s="35" t="s">
        <v>1803</v>
      </c>
      <c r="J14" s="12">
        <v>3</v>
      </c>
      <c r="K14" s="12">
        <v>0</v>
      </c>
      <c r="L14" s="44"/>
    </row>
    <row r="15" spans="1:12" ht="37.5" x14ac:dyDescent="0.35">
      <c r="A15" s="22">
        <v>10</v>
      </c>
      <c r="B15" s="22" t="s">
        <v>98</v>
      </c>
      <c r="C15" s="21" t="s">
        <v>99</v>
      </c>
      <c r="D15" s="21" t="s">
        <v>20</v>
      </c>
      <c r="E15" s="21" t="s">
        <v>1804</v>
      </c>
      <c r="F15" s="21" t="s">
        <v>17</v>
      </c>
      <c r="G15" s="21" t="s">
        <v>42</v>
      </c>
      <c r="H15" s="21" t="s">
        <v>31</v>
      </c>
      <c r="I15" s="38" t="s">
        <v>1805</v>
      </c>
      <c r="J15" s="22">
        <v>3</v>
      </c>
      <c r="K15" s="22">
        <v>0</v>
      </c>
      <c r="L15" s="44"/>
    </row>
    <row r="16" spans="1:12" ht="37.5" x14ac:dyDescent="0.35">
      <c r="A16" s="12">
        <v>11</v>
      </c>
      <c r="B16" s="12" t="s">
        <v>106</v>
      </c>
      <c r="C16" s="11" t="s">
        <v>107</v>
      </c>
      <c r="D16" s="11" t="s">
        <v>20</v>
      </c>
      <c r="E16" s="11" t="s">
        <v>1806</v>
      </c>
      <c r="F16" s="11" t="s">
        <v>17</v>
      </c>
      <c r="G16" s="11" t="s">
        <v>92</v>
      </c>
      <c r="H16" s="11" t="s">
        <v>31</v>
      </c>
      <c r="I16" s="35" t="s">
        <v>1807</v>
      </c>
      <c r="J16" s="12">
        <v>3</v>
      </c>
      <c r="K16" s="12">
        <v>0</v>
      </c>
      <c r="L16" s="44"/>
    </row>
    <row r="17" spans="1:12" ht="37.5" x14ac:dyDescent="0.35">
      <c r="A17" s="22">
        <v>12</v>
      </c>
      <c r="B17" s="22" t="s">
        <v>114</v>
      </c>
      <c r="C17" s="21" t="s">
        <v>115</v>
      </c>
      <c r="D17" s="21" t="s">
        <v>20</v>
      </c>
      <c r="E17" s="21" t="s">
        <v>1808</v>
      </c>
      <c r="F17" s="21" t="s">
        <v>17</v>
      </c>
      <c r="G17" s="21" t="s">
        <v>42</v>
      </c>
      <c r="H17" s="21" t="s">
        <v>31</v>
      </c>
      <c r="I17" s="38" t="s">
        <v>1809</v>
      </c>
      <c r="J17" s="22">
        <v>3</v>
      </c>
      <c r="K17" s="22">
        <v>0</v>
      </c>
      <c r="L17" s="44"/>
    </row>
    <row r="18" spans="1:12" ht="37.5" x14ac:dyDescent="0.35">
      <c r="A18" s="12">
        <v>13</v>
      </c>
      <c r="B18" s="12" t="s">
        <v>122</v>
      </c>
      <c r="C18" s="11" t="s">
        <v>123</v>
      </c>
      <c r="D18" s="11" t="s">
        <v>20</v>
      </c>
      <c r="E18" s="11" t="s">
        <v>1810</v>
      </c>
      <c r="F18" s="11" t="s">
        <v>17</v>
      </c>
      <c r="G18" s="11" t="s">
        <v>1811</v>
      </c>
      <c r="H18" s="11" t="s">
        <v>55</v>
      </c>
      <c r="I18" s="35" t="s">
        <v>1812</v>
      </c>
      <c r="J18" s="12">
        <v>3</v>
      </c>
      <c r="K18" s="12">
        <v>0</v>
      </c>
    </row>
    <row r="19" spans="1:12" ht="37.5" x14ac:dyDescent="0.35">
      <c r="A19" s="22">
        <v>14</v>
      </c>
      <c r="B19" s="12" t="s">
        <v>140</v>
      </c>
      <c r="C19" s="11" t="s">
        <v>141</v>
      </c>
      <c r="D19" s="11" t="s">
        <v>20</v>
      </c>
      <c r="E19" s="11" t="s">
        <v>1816</v>
      </c>
      <c r="F19" s="11" t="s">
        <v>17</v>
      </c>
      <c r="G19" s="11" t="s">
        <v>92</v>
      </c>
      <c r="H19" s="11" t="s">
        <v>31</v>
      </c>
      <c r="I19" s="35" t="s">
        <v>1817</v>
      </c>
      <c r="J19" s="12">
        <v>3</v>
      </c>
      <c r="K19" s="12">
        <v>0</v>
      </c>
    </row>
    <row r="20" spans="1:12" ht="37.5" x14ac:dyDescent="0.35">
      <c r="A20" s="12">
        <v>15</v>
      </c>
      <c r="B20" s="22" t="s">
        <v>148</v>
      </c>
      <c r="C20" s="21" t="s">
        <v>149</v>
      </c>
      <c r="D20" s="21" t="s">
        <v>20</v>
      </c>
      <c r="E20" s="21" t="s">
        <v>1818</v>
      </c>
      <c r="F20" s="21" t="s">
        <v>17</v>
      </c>
      <c r="G20" s="21" t="s">
        <v>42</v>
      </c>
      <c r="H20" s="21" t="s">
        <v>55</v>
      </c>
      <c r="I20" s="38" t="s">
        <v>1819</v>
      </c>
      <c r="J20" s="22">
        <v>3</v>
      </c>
      <c r="K20" s="22">
        <v>0</v>
      </c>
    </row>
    <row r="21" spans="1:12" ht="37.5" x14ac:dyDescent="0.35">
      <c r="A21" s="22">
        <v>16</v>
      </c>
      <c r="B21" s="12" t="s">
        <v>156</v>
      </c>
      <c r="C21" s="11" t="s">
        <v>157</v>
      </c>
      <c r="D21" s="11" t="s">
        <v>20</v>
      </c>
      <c r="E21" s="11" t="s">
        <v>1820</v>
      </c>
      <c r="F21" s="11" t="s">
        <v>17</v>
      </c>
      <c r="G21" s="11" t="s">
        <v>92</v>
      </c>
      <c r="H21" s="11" t="s">
        <v>31</v>
      </c>
      <c r="I21" s="35" t="s">
        <v>1821</v>
      </c>
      <c r="J21" s="12">
        <v>3</v>
      </c>
      <c r="K21" s="12">
        <v>0</v>
      </c>
    </row>
    <row r="22" spans="1:12" ht="37.5" x14ac:dyDescent="0.35">
      <c r="A22" s="12">
        <v>17</v>
      </c>
      <c r="B22" s="12" t="s">
        <v>173</v>
      </c>
      <c r="C22" s="11" t="s">
        <v>174</v>
      </c>
      <c r="D22" s="11" t="s">
        <v>20</v>
      </c>
      <c r="E22" s="11" t="s">
        <v>1824</v>
      </c>
      <c r="F22" s="11" t="s">
        <v>17</v>
      </c>
      <c r="G22" s="11" t="s">
        <v>92</v>
      </c>
      <c r="H22" s="11" t="s">
        <v>31</v>
      </c>
      <c r="I22" s="35" t="s">
        <v>1825</v>
      </c>
      <c r="J22" s="12">
        <v>3</v>
      </c>
      <c r="K22" s="12">
        <v>0</v>
      </c>
    </row>
    <row r="23" spans="1:12" ht="37.5" x14ac:dyDescent="0.35">
      <c r="A23" s="22">
        <v>18</v>
      </c>
      <c r="B23" s="22" t="s">
        <v>181</v>
      </c>
      <c r="C23" s="21" t="s">
        <v>182</v>
      </c>
      <c r="D23" s="21" t="s">
        <v>20</v>
      </c>
      <c r="E23" s="21" t="s">
        <v>1826</v>
      </c>
      <c r="F23" s="21" t="s">
        <v>17</v>
      </c>
      <c r="G23" s="21" t="s">
        <v>92</v>
      </c>
      <c r="H23" s="21" t="s">
        <v>55</v>
      </c>
      <c r="I23" s="38" t="s">
        <v>1827</v>
      </c>
      <c r="J23" s="22">
        <v>3</v>
      </c>
      <c r="K23" s="22">
        <v>0</v>
      </c>
    </row>
    <row r="24" spans="1:12" ht="37.5" x14ac:dyDescent="0.35">
      <c r="A24" s="12">
        <v>19</v>
      </c>
      <c r="B24" s="22" t="s">
        <v>199</v>
      </c>
      <c r="C24" s="21" t="s">
        <v>200</v>
      </c>
      <c r="D24" s="21" t="s">
        <v>20</v>
      </c>
      <c r="E24" s="21" t="s">
        <v>1830</v>
      </c>
      <c r="F24" s="21" t="s">
        <v>17</v>
      </c>
      <c r="G24" s="21" t="s">
        <v>92</v>
      </c>
      <c r="H24" s="21" t="s">
        <v>55</v>
      </c>
      <c r="I24" s="38" t="s">
        <v>1831</v>
      </c>
      <c r="J24" s="22">
        <v>3</v>
      </c>
      <c r="K24" s="22">
        <v>0</v>
      </c>
    </row>
    <row r="25" spans="1:12" ht="37.5" x14ac:dyDescent="0.35">
      <c r="A25" s="22">
        <v>20</v>
      </c>
      <c r="B25" s="12" t="s">
        <v>207</v>
      </c>
      <c r="C25" s="11" t="s">
        <v>208</v>
      </c>
      <c r="D25" s="11" t="s">
        <v>20</v>
      </c>
      <c r="E25" s="11" t="s">
        <v>1832</v>
      </c>
      <c r="F25" s="11" t="s">
        <v>17</v>
      </c>
      <c r="G25" s="11" t="s">
        <v>92</v>
      </c>
      <c r="H25" s="11" t="s">
        <v>55</v>
      </c>
      <c r="I25" s="35" t="s">
        <v>1833</v>
      </c>
      <c r="J25" s="12">
        <v>3</v>
      </c>
      <c r="K25" s="12">
        <v>0</v>
      </c>
    </row>
    <row r="26" spans="1:12" ht="37.5" x14ac:dyDescent="0.35">
      <c r="A26" s="12">
        <v>21</v>
      </c>
      <c r="B26" s="12" t="s">
        <v>224</v>
      </c>
      <c r="C26" s="11" t="s">
        <v>216</v>
      </c>
      <c r="D26" s="11" t="s">
        <v>20</v>
      </c>
      <c r="E26" s="11" t="s">
        <v>1836</v>
      </c>
      <c r="F26" s="11" t="s">
        <v>17</v>
      </c>
      <c r="G26" s="11" t="s">
        <v>42</v>
      </c>
      <c r="H26" s="11" t="s">
        <v>31</v>
      </c>
      <c r="I26" s="35" t="s">
        <v>1837</v>
      </c>
      <c r="J26" s="12">
        <v>3</v>
      </c>
      <c r="K26" s="12">
        <v>0</v>
      </c>
    </row>
    <row r="27" spans="1:12" ht="37.5" x14ac:dyDescent="0.35">
      <c r="A27" s="22">
        <v>22</v>
      </c>
      <c r="B27" s="22" t="s">
        <v>249</v>
      </c>
      <c r="C27" s="21" t="s">
        <v>250</v>
      </c>
      <c r="D27" s="21" t="s">
        <v>20</v>
      </c>
      <c r="E27" s="21" t="s">
        <v>1842</v>
      </c>
      <c r="F27" s="21" t="s">
        <v>17</v>
      </c>
      <c r="G27" s="21" t="s">
        <v>92</v>
      </c>
      <c r="H27" s="21" t="s">
        <v>55</v>
      </c>
      <c r="I27" s="38" t="s">
        <v>1843</v>
      </c>
      <c r="J27" s="22">
        <v>3</v>
      </c>
      <c r="K27" s="22">
        <v>0</v>
      </c>
    </row>
    <row r="28" spans="1:12" ht="37.5" x14ac:dyDescent="0.35">
      <c r="A28" s="12">
        <v>23</v>
      </c>
      <c r="B28" s="12" t="s">
        <v>257</v>
      </c>
      <c r="C28" s="11" t="s">
        <v>258</v>
      </c>
      <c r="D28" s="11" t="s">
        <v>20</v>
      </c>
      <c r="E28" s="11" t="s">
        <v>1844</v>
      </c>
      <c r="F28" s="11" t="s">
        <v>17</v>
      </c>
      <c r="G28" s="11" t="s">
        <v>92</v>
      </c>
      <c r="H28" s="11" t="s">
        <v>31</v>
      </c>
      <c r="I28" s="35" t="s">
        <v>1845</v>
      </c>
      <c r="J28" s="12">
        <v>3</v>
      </c>
      <c r="K28" s="12">
        <v>0</v>
      </c>
    </row>
    <row r="29" spans="1:12" ht="37.5" x14ac:dyDescent="0.35">
      <c r="A29" s="22">
        <v>24</v>
      </c>
      <c r="B29" s="22" t="s">
        <v>265</v>
      </c>
      <c r="C29" s="21" t="s">
        <v>266</v>
      </c>
      <c r="D29" s="21" t="s">
        <v>20</v>
      </c>
      <c r="E29" s="21" t="s">
        <v>1846</v>
      </c>
      <c r="F29" s="21" t="s">
        <v>17</v>
      </c>
      <c r="G29" s="21" t="s">
        <v>30</v>
      </c>
      <c r="H29" s="21" t="s">
        <v>31</v>
      </c>
      <c r="I29" s="38" t="s">
        <v>1847</v>
      </c>
      <c r="J29" s="22">
        <v>3</v>
      </c>
      <c r="K29" s="22">
        <v>0</v>
      </c>
    </row>
    <row r="30" spans="1:12" ht="37.5" x14ac:dyDescent="0.35">
      <c r="A30" s="12">
        <v>25</v>
      </c>
      <c r="B30" s="22" t="s">
        <v>302</v>
      </c>
      <c r="C30" s="21" t="s">
        <v>303</v>
      </c>
      <c r="D30" s="21" t="s">
        <v>20</v>
      </c>
      <c r="E30" s="21" t="s">
        <v>1857</v>
      </c>
      <c r="F30" s="21" t="s">
        <v>17</v>
      </c>
      <c r="G30" s="21" t="s">
        <v>92</v>
      </c>
      <c r="H30" s="21" t="s">
        <v>31</v>
      </c>
      <c r="I30" s="38" t="s">
        <v>1858</v>
      </c>
      <c r="J30" s="22">
        <v>3</v>
      </c>
      <c r="K30" s="22">
        <v>0</v>
      </c>
    </row>
    <row r="31" spans="1:12" ht="50" x14ac:dyDescent="0.35">
      <c r="A31" s="22">
        <v>26</v>
      </c>
      <c r="B31" s="12" t="s">
        <v>310</v>
      </c>
      <c r="C31" s="11" t="s">
        <v>303</v>
      </c>
      <c r="D31" s="11" t="s">
        <v>20</v>
      </c>
      <c r="E31" s="11" t="s">
        <v>1859</v>
      </c>
      <c r="F31" s="11" t="s">
        <v>17</v>
      </c>
      <c r="G31" s="11" t="s">
        <v>42</v>
      </c>
      <c r="H31" s="11" t="s">
        <v>55</v>
      </c>
      <c r="I31" s="35" t="s">
        <v>1860</v>
      </c>
      <c r="J31" s="12">
        <v>3</v>
      </c>
      <c r="K31" s="12">
        <v>0</v>
      </c>
    </row>
    <row r="32" spans="1:12" ht="37.5" x14ac:dyDescent="0.35">
      <c r="A32" s="12">
        <v>27</v>
      </c>
      <c r="B32" s="12" t="s">
        <v>328</v>
      </c>
      <c r="C32" s="11" t="s">
        <v>329</v>
      </c>
      <c r="D32" s="11" t="s">
        <v>20</v>
      </c>
      <c r="E32" s="11" t="s">
        <v>1865</v>
      </c>
      <c r="F32" s="11" t="s">
        <v>17</v>
      </c>
      <c r="G32" s="11" t="s">
        <v>92</v>
      </c>
      <c r="H32" s="11" t="s">
        <v>31</v>
      </c>
      <c r="I32" s="35" t="s">
        <v>1866</v>
      </c>
      <c r="J32" s="12">
        <v>3</v>
      </c>
      <c r="K32" s="12">
        <v>0</v>
      </c>
    </row>
    <row r="33" spans="1:11" ht="37.5" x14ac:dyDescent="0.35">
      <c r="A33" s="22">
        <v>28</v>
      </c>
      <c r="B33" s="22" t="s">
        <v>336</v>
      </c>
      <c r="C33" s="21" t="s">
        <v>337</v>
      </c>
      <c r="D33" s="21" t="s">
        <v>20</v>
      </c>
      <c r="E33" s="21" t="s">
        <v>1867</v>
      </c>
      <c r="F33" s="21" t="s">
        <v>17</v>
      </c>
      <c r="G33" s="21" t="s">
        <v>30</v>
      </c>
      <c r="H33" s="21" t="s">
        <v>55</v>
      </c>
      <c r="I33" s="38" t="s">
        <v>1868</v>
      </c>
      <c r="J33" s="22">
        <v>3</v>
      </c>
      <c r="K33" s="22">
        <v>0</v>
      </c>
    </row>
    <row r="34" spans="1:11" ht="37.5" x14ac:dyDescent="0.35">
      <c r="A34" s="12">
        <v>29</v>
      </c>
      <c r="B34" s="22" t="s">
        <v>352</v>
      </c>
      <c r="C34" s="21" t="s">
        <v>353</v>
      </c>
      <c r="D34" s="21" t="s">
        <v>20</v>
      </c>
      <c r="E34" s="21" t="s">
        <v>1872</v>
      </c>
      <c r="F34" s="21" t="s">
        <v>17</v>
      </c>
      <c r="G34" s="21" t="s">
        <v>18</v>
      </c>
      <c r="H34" s="21" t="s">
        <v>55</v>
      </c>
      <c r="I34" s="38" t="s">
        <v>1873</v>
      </c>
      <c r="J34" s="22">
        <v>3</v>
      </c>
      <c r="K34" s="22">
        <v>0</v>
      </c>
    </row>
    <row r="35" spans="1:11" ht="75" x14ac:dyDescent="0.35">
      <c r="A35" s="22">
        <v>30</v>
      </c>
      <c r="B35" s="12" t="s">
        <v>360</v>
      </c>
      <c r="C35" s="11" t="s">
        <v>361</v>
      </c>
      <c r="D35" s="11" t="s">
        <v>20</v>
      </c>
      <c r="E35" s="11" t="s">
        <v>1874</v>
      </c>
      <c r="F35" s="11" t="s">
        <v>17</v>
      </c>
      <c r="G35" s="11" t="s">
        <v>42</v>
      </c>
      <c r="H35" s="11" t="s">
        <v>31</v>
      </c>
      <c r="I35" s="35" t="s">
        <v>1875</v>
      </c>
      <c r="J35" s="12">
        <v>3</v>
      </c>
      <c r="K35" s="12">
        <v>0</v>
      </c>
    </row>
    <row r="36" spans="1:11" ht="50" x14ac:dyDescent="0.35">
      <c r="A36" s="12">
        <v>31</v>
      </c>
      <c r="B36" s="22" t="s">
        <v>386</v>
      </c>
      <c r="C36" s="21" t="s">
        <v>387</v>
      </c>
      <c r="D36" s="21" t="s">
        <v>20</v>
      </c>
      <c r="E36" s="21" t="s">
        <v>1880</v>
      </c>
      <c r="F36" s="21" t="s">
        <v>17</v>
      </c>
      <c r="G36" s="21" t="s">
        <v>92</v>
      </c>
      <c r="H36" s="21" t="s">
        <v>55</v>
      </c>
      <c r="I36" s="38" t="s">
        <v>1881</v>
      </c>
      <c r="J36" s="22">
        <v>3</v>
      </c>
      <c r="K36" s="22">
        <v>0</v>
      </c>
    </row>
    <row r="37" spans="1:11" ht="37.5" x14ac:dyDescent="0.35">
      <c r="A37" s="22">
        <v>32</v>
      </c>
      <c r="B37" s="22" t="s">
        <v>402</v>
      </c>
      <c r="C37" s="21" t="s">
        <v>403</v>
      </c>
      <c r="D37" s="21" t="s">
        <v>20</v>
      </c>
      <c r="E37" s="21" t="s">
        <v>1884</v>
      </c>
      <c r="F37" s="21" t="s">
        <v>17</v>
      </c>
      <c r="G37" s="21" t="s">
        <v>30</v>
      </c>
      <c r="H37" s="21" t="s">
        <v>31</v>
      </c>
      <c r="I37" s="38" t="s">
        <v>1885</v>
      </c>
      <c r="J37" s="22">
        <v>3</v>
      </c>
      <c r="K37" s="22">
        <v>0</v>
      </c>
    </row>
    <row r="38" spans="1:11" ht="75" x14ac:dyDescent="0.35">
      <c r="A38" s="12">
        <v>33</v>
      </c>
      <c r="B38" s="12" t="s">
        <v>410</v>
      </c>
      <c r="C38" s="11" t="s">
        <v>411</v>
      </c>
      <c r="D38" s="11" t="s">
        <v>20</v>
      </c>
      <c r="E38" s="11" t="s">
        <v>1886</v>
      </c>
      <c r="F38" s="11" t="s">
        <v>1887</v>
      </c>
      <c r="G38" s="11" t="s">
        <v>1888</v>
      </c>
      <c r="H38" s="11" t="s">
        <v>31</v>
      </c>
      <c r="I38" s="35" t="s">
        <v>1889</v>
      </c>
      <c r="J38" s="12">
        <v>3</v>
      </c>
      <c r="K38" s="12">
        <v>0</v>
      </c>
    </row>
    <row r="39" spans="1:11" ht="37.5" x14ac:dyDescent="0.35">
      <c r="A39" s="22">
        <v>34</v>
      </c>
      <c r="B39" s="22" t="s">
        <v>419</v>
      </c>
      <c r="C39" s="21" t="s">
        <v>420</v>
      </c>
      <c r="D39" s="21" t="s">
        <v>20</v>
      </c>
      <c r="E39" s="21" t="s">
        <v>1890</v>
      </c>
      <c r="F39" s="21" t="s">
        <v>17</v>
      </c>
      <c r="G39" s="21" t="s">
        <v>92</v>
      </c>
      <c r="H39" s="21" t="s">
        <v>55</v>
      </c>
      <c r="I39" s="38" t="s">
        <v>1891</v>
      </c>
      <c r="J39" s="22">
        <v>3</v>
      </c>
      <c r="K39" s="22">
        <v>0</v>
      </c>
    </row>
    <row r="40" spans="1:11" ht="37.5" x14ac:dyDescent="0.35">
      <c r="A40" s="12">
        <v>35</v>
      </c>
      <c r="B40" s="12" t="s">
        <v>444</v>
      </c>
      <c r="C40" s="11" t="s">
        <v>445</v>
      </c>
      <c r="D40" s="11" t="s">
        <v>20</v>
      </c>
      <c r="E40" s="11" t="s">
        <v>1896</v>
      </c>
      <c r="F40" s="11" t="s">
        <v>17</v>
      </c>
      <c r="G40" s="11" t="s">
        <v>42</v>
      </c>
      <c r="H40" s="11" t="s">
        <v>31</v>
      </c>
      <c r="I40" s="35" t="s">
        <v>1897</v>
      </c>
      <c r="J40" s="12">
        <v>3</v>
      </c>
      <c r="K40" s="12">
        <v>0</v>
      </c>
    </row>
    <row r="41" spans="1:11" ht="50" x14ac:dyDescent="0.35">
      <c r="A41" s="22">
        <v>36</v>
      </c>
      <c r="B41" s="22" t="s">
        <v>452</v>
      </c>
      <c r="C41" s="21" t="s">
        <v>453</v>
      </c>
      <c r="D41" s="21" t="s">
        <v>20</v>
      </c>
      <c r="E41" s="21" t="s">
        <v>1898</v>
      </c>
      <c r="F41" s="21" t="s">
        <v>17</v>
      </c>
      <c r="G41" s="21" t="s">
        <v>1899</v>
      </c>
      <c r="H41" s="21" t="s">
        <v>31</v>
      </c>
      <c r="I41" s="38" t="s">
        <v>1900</v>
      </c>
      <c r="J41" s="22">
        <v>3</v>
      </c>
      <c r="K41" s="22">
        <v>0</v>
      </c>
    </row>
    <row r="42" spans="1:11" ht="37.5" x14ac:dyDescent="0.35">
      <c r="A42" s="12">
        <v>37</v>
      </c>
      <c r="B42" s="12" t="s">
        <v>460</v>
      </c>
      <c r="C42" s="11" t="s">
        <v>461</v>
      </c>
      <c r="D42" s="11" t="s">
        <v>20</v>
      </c>
      <c r="E42" s="11" t="s">
        <v>1901</v>
      </c>
      <c r="F42" s="11" t="s">
        <v>17</v>
      </c>
      <c r="G42" s="11" t="s">
        <v>18</v>
      </c>
      <c r="H42" s="11" t="s">
        <v>19</v>
      </c>
      <c r="I42" s="35" t="s">
        <v>1902</v>
      </c>
      <c r="J42" s="12">
        <v>3</v>
      </c>
      <c r="K42" s="12">
        <v>0</v>
      </c>
    </row>
    <row r="43" spans="1:11" ht="37.5" x14ac:dyDescent="0.35">
      <c r="A43" s="22">
        <v>38</v>
      </c>
      <c r="B43" s="22" t="s">
        <v>468</v>
      </c>
      <c r="C43" s="21" t="s">
        <v>469</v>
      </c>
      <c r="D43" s="21" t="s">
        <v>20</v>
      </c>
      <c r="E43" s="21" t="s">
        <v>1903</v>
      </c>
      <c r="F43" s="21" t="s">
        <v>17</v>
      </c>
      <c r="G43" s="21" t="s">
        <v>1904</v>
      </c>
      <c r="H43" s="21" t="s">
        <v>55</v>
      </c>
      <c r="I43" s="38" t="s">
        <v>1905</v>
      </c>
      <c r="J43" s="22">
        <v>3</v>
      </c>
      <c r="K43" s="22">
        <v>0</v>
      </c>
    </row>
    <row r="44" spans="1:11" ht="37.5" x14ac:dyDescent="0.35">
      <c r="A44" s="12">
        <v>39</v>
      </c>
      <c r="B44" s="12" t="s">
        <v>476</v>
      </c>
      <c r="C44" s="11" t="s">
        <v>477</v>
      </c>
      <c r="D44" s="11" t="s">
        <v>20</v>
      </c>
      <c r="E44" s="11" t="s">
        <v>1906</v>
      </c>
      <c r="F44" s="11" t="s">
        <v>17</v>
      </c>
      <c r="G44" s="11" t="s">
        <v>92</v>
      </c>
      <c r="H44" s="11" t="s">
        <v>55</v>
      </c>
      <c r="I44" s="35" t="s">
        <v>1907</v>
      </c>
      <c r="J44" s="12">
        <v>3</v>
      </c>
      <c r="K44" s="12">
        <v>0</v>
      </c>
    </row>
    <row r="45" spans="1:11" ht="37.5" x14ac:dyDescent="0.35">
      <c r="A45" s="22">
        <v>40</v>
      </c>
      <c r="B45" s="22" t="s">
        <v>501</v>
      </c>
      <c r="C45" s="21" t="s">
        <v>502</v>
      </c>
      <c r="D45" s="21" t="s">
        <v>20</v>
      </c>
      <c r="E45" s="21" t="s">
        <v>1914</v>
      </c>
      <c r="F45" s="21" t="s">
        <v>17</v>
      </c>
      <c r="G45" s="21" t="s">
        <v>92</v>
      </c>
      <c r="H45" s="21" t="s">
        <v>55</v>
      </c>
      <c r="I45" s="38" t="s">
        <v>1915</v>
      </c>
      <c r="J45" s="22">
        <v>3</v>
      </c>
      <c r="K45" s="22">
        <v>0</v>
      </c>
    </row>
    <row r="46" spans="1:11" ht="37.5" x14ac:dyDescent="0.35">
      <c r="A46" s="12">
        <v>41</v>
      </c>
      <c r="B46" s="22" t="s">
        <v>534</v>
      </c>
      <c r="C46" s="21" t="s">
        <v>535</v>
      </c>
      <c r="D46" s="21" t="s">
        <v>20</v>
      </c>
      <c r="E46" s="21" t="s">
        <v>1923</v>
      </c>
      <c r="F46" s="21" t="s">
        <v>17</v>
      </c>
      <c r="G46" s="21" t="s">
        <v>92</v>
      </c>
      <c r="H46" s="21" t="s">
        <v>31</v>
      </c>
      <c r="I46" s="38" t="s">
        <v>1924</v>
      </c>
      <c r="J46" s="22">
        <v>3</v>
      </c>
      <c r="K46" s="22">
        <v>0</v>
      </c>
    </row>
    <row r="47" spans="1:11" ht="37.5" x14ac:dyDescent="0.35">
      <c r="A47" s="22">
        <v>42</v>
      </c>
      <c r="B47" s="12" t="s">
        <v>542</v>
      </c>
      <c r="C47" s="11" t="s">
        <v>543</v>
      </c>
      <c r="D47" s="11" t="s">
        <v>20</v>
      </c>
      <c r="E47" s="11" t="s">
        <v>1925</v>
      </c>
      <c r="F47" s="11" t="s">
        <v>17</v>
      </c>
      <c r="G47" s="11" t="s">
        <v>42</v>
      </c>
      <c r="H47" s="11" t="s">
        <v>31</v>
      </c>
      <c r="I47" s="35" t="s">
        <v>1926</v>
      </c>
      <c r="J47" s="12">
        <v>3</v>
      </c>
      <c r="K47" s="12">
        <v>0</v>
      </c>
    </row>
    <row r="48" spans="1:11" ht="37.5" x14ac:dyDescent="0.35">
      <c r="A48" s="12">
        <v>43</v>
      </c>
      <c r="B48" s="12" t="s">
        <v>559</v>
      </c>
      <c r="C48" s="11" t="s">
        <v>560</v>
      </c>
      <c r="D48" s="11" t="s">
        <v>20</v>
      </c>
      <c r="E48" s="11" t="s">
        <v>1929</v>
      </c>
      <c r="F48" s="11" t="s">
        <v>17</v>
      </c>
      <c r="G48" s="11" t="s">
        <v>92</v>
      </c>
      <c r="H48" s="11" t="s">
        <v>31</v>
      </c>
      <c r="I48" s="35" t="s">
        <v>1930</v>
      </c>
      <c r="J48" s="12">
        <v>3</v>
      </c>
      <c r="K48" s="12">
        <v>0</v>
      </c>
    </row>
    <row r="49" spans="1:11" ht="37.5" x14ac:dyDescent="0.35">
      <c r="A49" s="22">
        <v>44</v>
      </c>
      <c r="B49" s="22" t="s">
        <v>567</v>
      </c>
      <c r="C49" s="21" t="s">
        <v>560</v>
      </c>
      <c r="D49" s="21" t="s">
        <v>20</v>
      </c>
      <c r="E49" s="21" t="s">
        <v>1931</v>
      </c>
      <c r="F49" s="21" t="s">
        <v>17</v>
      </c>
      <c r="G49" s="21" t="s">
        <v>42</v>
      </c>
      <c r="H49" s="21" t="s">
        <v>31</v>
      </c>
      <c r="I49" s="38" t="s">
        <v>1932</v>
      </c>
      <c r="J49" s="22">
        <v>3</v>
      </c>
      <c r="K49" s="22">
        <v>0</v>
      </c>
    </row>
    <row r="50" spans="1:11" ht="37.5" x14ac:dyDescent="0.35">
      <c r="A50" s="12">
        <v>45</v>
      </c>
      <c r="B50" s="12" t="s">
        <v>592</v>
      </c>
      <c r="C50" s="11" t="s">
        <v>593</v>
      </c>
      <c r="D50" s="11" t="s">
        <v>20</v>
      </c>
      <c r="E50" s="11" t="s">
        <v>1937</v>
      </c>
      <c r="F50" s="11" t="s">
        <v>17</v>
      </c>
      <c r="G50" s="11" t="s">
        <v>18</v>
      </c>
      <c r="H50" s="11" t="s">
        <v>55</v>
      </c>
      <c r="I50" s="35" t="s">
        <v>1938</v>
      </c>
      <c r="J50" s="12">
        <v>3</v>
      </c>
      <c r="K50" s="12">
        <v>0</v>
      </c>
    </row>
    <row r="51" spans="1:11" ht="75" x14ac:dyDescent="0.35">
      <c r="A51" s="22">
        <v>46</v>
      </c>
      <c r="B51" s="12" t="s">
        <v>610</v>
      </c>
      <c r="C51" s="11" t="s">
        <v>611</v>
      </c>
      <c r="D51" s="11" t="s">
        <v>20</v>
      </c>
      <c r="E51" s="11" t="s">
        <v>1942</v>
      </c>
      <c r="F51" s="11" t="s">
        <v>1943</v>
      </c>
      <c r="G51" s="11" t="s">
        <v>1888</v>
      </c>
      <c r="H51" s="11" t="s">
        <v>55</v>
      </c>
      <c r="I51" s="35" t="s">
        <v>1944</v>
      </c>
      <c r="J51" s="12">
        <v>3</v>
      </c>
      <c r="K51" s="12">
        <v>0</v>
      </c>
    </row>
    <row r="52" spans="1:11" ht="37.5" x14ac:dyDescent="0.35">
      <c r="A52" s="12">
        <v>47</v>
      </c>
      <c r="B52" s="22" t="s">
        <v>619</v>
      </c>
      <c r="C52" s="21" t="s">
        <v>620</v>
      </c>
      <c r="D52" s="21" t="s">
        <v>20</v>
      </c>
      <c r="E52" s="21" t="s">
        <v>1945</v>
      </c>
      <c r="F52" s="21" t="s">
        <v>17</v>
      </c>
      <c r="G52" s="21" t="s">
        <v>42</v>
      </c>
      <c r="H52" s="21" t="s">
        <v>193</v>
      </c>
      <c r="I52" s="38" t="s">
        <v>1946</v>
      </c>
      <c r="J52" s="22">
        <v>3</v>
      </c>
      <c r="K52" s="22">
        <v>0</v>
      </c>
    </row>
    <row r="53" spans="1:11" ht="37.5" x14ac:dyDescent="0.35">
      <c r="A53" s="22">
        <v>48</v>
      </c>
      <c r="B53" s="22" t="s">
        <v>635</v>
      </c>
      <c r="C53" s="21" t="s">
        <v>636</v>
      </c>
      <c r="D53" s="21" t="s">
        <v>20</v>
      </c>
      <c r="E53" s="21" t="s">
        <v>1949</v>
      </c>
      <c r="F53" s="21" t="s">
        <v>17</v>
      </c>
      <c r="G53" s="21" t="s">
        <v>324</v>
      </c>
      <c r="H53" s="21" t="s">
        <v>55</v>
      </c>
      <c r="I53" s="38" t="s">
        <v>1950</v>
      </c>
      <c r="J53" s="22">
        <v>3</v>
      </c>
      <c r="K53" s="22">
        <v>0</v>
      </c>
    </row>
    <row r="54" spans="1:11" ht="50" x14ac:dyDescent="0.35">
      <c r="A54" s="12">
        <v>49</v>
      </c>
      <c r="B54" s="12" t="s">
        <v>643</v>
      </c>
      <c r="C54" s="11" t="s">
        <v>644</v>
      </c>
      <c r="D54" s="11" t="s">
        <v>20</v>
      </c>
      <c r="E54" s="11" t="s">
        <v>1951</v>
      </c>
      <c r="F54" s="11" t="s">
        <v>17</v>
      </c>
      <c r="G54" s="11" t="s">
        <v>30</v>
      </c>
      <c r="H54" s="11" t="s">
        <v>31</v>
      </c>
      <c r="I54" s="35" t="s">
        <v>1952</v>
      </c>
      <c r="J54" s="12">
        <v>3</v>
      </c>
      <c r="K54" s="12">
        <v>0</v>
      </c>
    </row>
    <row r="55" spans="1:11" ht="50" x14ac:dyDescent="0.35">
      <c r="A55" s="22">
        <v>50</v>
      </c>
      <c r="B55" s="22" t="s">
        <v>651</v>
      </c>
      <c r="C55" s="21" t="s">
        <v>652</v>
      </c>
      <c r="D55" s="21" t="s">
        <v>20</v>
      </c>
      <c r="E55" s="21" t="s">
        <v>1953</v>
      </c>
      <c r="F55" s="21" t="s">
        <v>17</v>
      </c>
      <c r="G55" s="21" t="s">
        <v>42</v>
      </c>
      <c r="H55" s="21" t="s">
        <v>31</v>
      </c>
      <c r="I55" s="38" t="s">
        <v>1954</v>
      </c>
      <c r="J55" s="22">
        <v>3</v>
      </c>
      <c r="K55" s="22">
        <v>0</v>
      </c>
    </row>
    <row r="56" spans="1:11" ht="37.5" x14ac:dyDescent="0.35">
      <c r="A56" s="12">
        <v>51</v>
      </c>
      <c r="B56" s="12" t="s">
        <v>659</v>
      </c>
      <c r="C56" s="11" t="s">
        <v>660</v>
      </c>
      <c r="D56" s="11" t="s">
        <v>20</v>
      </c>
      <c r="E56" s="11" t="s">
        <v>1955</v>
      </c>
      <c r="F56" s="11" t="s">
        <v>17</v>
      </c>
      <c r="G56" s="11" t="s">
        <v>92</v>
      </c>
      <c r="H56" s="11" t="s">
        <v>55</v>
      </c>
      <c r="I56" s="35" t="s">
        <v>1956</v>
      </c>
      <c r="J56" s="12">
        <v>3</v>
      </c>
      <c r="K56" s="12">
        <v>0</v>
      </c>
    </row>
    <row r="57" spans="1:11" ht="37.5" x14ac:dyDescent="0.35">
      <c r="A57" s="22">
        <v>52</v>
      </c>
      <c r="B57" s="22" t="s">
        <v>667</v>
      </c>
      <c r="C57" s="21" t="s">
        <v>668</v>
      </c>
      <c r="D57" s="21" t="s">
        <v>20</v>
      </c>
      <c r="E57" s="21" t="s">
        <v>1957</v>
      </c>
      <c r="F57" s="21" t="s">
        <v>17</v>
      </c>
      <c r="G57" s="21" t="s">
        <v>42</v>
      </c>
      <c r="H57" s="21" t="s">
        <v>31</v>
      </c>
      <c r="I57" s="38" t="s">
        <v>1958</v>
      </c>
      <c r="J57" s="22">
        <v>3</v>
      </c>
      <c r="K57" s="22">
        <v>0</v>
      </c>
    </row>
    <row r="58" spans="1:11" ht="37.5" x14ac:dyDescent="0.35">
      <c r="A58" s="12">
        <v>53</v>
      </c>
      <c r="B58" s="12" t="s">
        <v>675</v>
      </c>
      <c r="C58" s="11" t="s">
        <v>676</v>
      </c>
      <c r="D58" s="11" t="s">
        <v>20</v>
      </c>
      <c r="E58" s="11" t="s">
        <v>1959</v>
      </c>
      <c r="F58" s="11" t="s">
        <v>17</v>
      </c>
      <c r="G58" s="11" t="s">
        <v>30</v>
      </c>
      <c r="H58" s="11" t="s">
        <v>55</v>
      </c>
      <c r="I58" s="35" t="s">
        <v>1960</v>
      </c>
      <c r="J58" s="12">
        <v>3</v>
      </c>
      <c r="K58" s="12">
        <v>0</v>
      </c>
    </row>
    <row r="59" spans="1:11" ht="62.5" x14ac:dyDescent="0.35">
      <c r="A59" s="22">
        <v>54</v>
      </c>
      <c r="B59" s="22" t="s">
        <v>683</v>
      </c>
      <c r="C59" s="21" t="s">
        <v>684</v>
      </c>
      <c r="D59" s="21" t="s">
        <v>20</v>
      </c>
      <c r="E59" s="21" t="s">
        <v>1961</v>
      </c>
      <c r="F59" s="21" t="s">
        <v>1962</v>
      </c>
      <c r="G59" s="21" t="s">
        <v>1963</v>
      </c>
      <c r="H59" s="21" t="s">
        <v>1964</v>
      </c>
      <c r="I59" s="38" t="s">
        <v>1965</v>
      </c>
      <c r="J59" s="22">
        <v>3</v>
      </c>
      <c r="K59" s="22">
        <v>0</v>
      </c>
    </row>
    <row r="60" spans="1:11" ht="37.5" x14ac:dyDescent="0.35">
      <c r="A60" s="12">
        <v>55</v>
      </c>
      <c r="B60" s="12" t="s">
        <v>694</v>
      </c>
      <c r="C60" s="11" t="s">
        <v>695</v>
      </c>
      <c r="D60" s="11" t="s">
        <v>20</v>
      </c>
      <c r="E60" s="11" t="s">
        <v>1966</v>
      </c>
      <c r="F60" s="11" t="s">
        <v>17</v>
      </c>
      <c r="G60" s="11" t="s">
        <v>92</v>
      </c>
      <c r="H60" s="11" t="s">
        <v>55</v>
      </c>
      <c r="I60" s="35" t="s">
        <v>1967</v>
      </c>
      <c r="J60" s="12">
        <v>3</v>
      </c>
      <c r="K60" s="12">
        <v>0</v>
      </c>
    </row>
    <row r="61" spans="1:11" ht="37.5" x14ac:dyDescent="0.35">
      <c r="A61" s="22">
        <v>56</v>
      </c>
      <c r="B61" s="22" t="s">
        <v>718</v>
      </c>
      <c r="C61" s="21" t="s">
        <v>719</v>
      </c>
      <c r="D61" s="21" t="s">
        <v>20</v>
      </c>
      <c r="E61" s="21" t="s">
        <v>1972</v>
      </c>
      <c r="F61" s="21" t="s">
        <v>17</v>
      </c>
      <c r="G61" s="21" t="s">
        <v>18</v>
      </c>
      <c r="H61" s="21" t="s">
        <v>55</v>
      </c>
      <c r="I61" s="38" t="s">
        <v>1973</v>
      </c>
      <c r="J61" s="22">
        <v>3</v>
      </c>
      <c r="K61" s="22">
        <v>0</v>
      </c>
    </row>
    <row r="62" spans="1:11" ht="37.5" x14ac:dyDescent="0.35">
      <c r="A62" s="12">
        <v>57</v>
      </c>
      <c r="B62" s="12" t="s">
        <v>726</v>
      </c>
      <c r="C62" s="11" t="s">
        <v>727</v>
      </c>
      <c r="D62" s="11" t="s">
        <v>20</v>
      </c>
      <c r="E62" s="11" t="s">
        <v>1974</v>
      </c>
      <c r="F62" s="11" t="s">
        <v>17</v>
      </c>
      <c r="G62" s="11" t="s">
        <v>18</v>
      </c>
      <c r="H62" s="11" t="s">
        <v>31</v>
      </c>
      <c r="I62" s="35" t="s">
        <v>1975</v>
      </c>
      <c r="J62" s="12">
        <v>3</v>
      </c>
      <c r="K62" s="12">
        <v>0</v>
      </c>
    </row>
    <row r="63" spans="1:11" ht="37.5" x14ac:dyDescent="0.35">
      <c r="A63" s="22">
        <v>58</v>
      </c>
      <c r="B63" s="12" t="s">
        <v>742</v>
      </c>
      <c r="C63" s="11" t="s">
        <v>743</v>
      </c>
      <c r="D63" s="11" t="s">
        <v>20</v>
      </c>
      <c r="E63" s="11" t="s">
        <v>1978</v>
      </c>
      <c r="F63" s="11" t="s">
        <v>17</v>
      </c>
      <c r="G63" s="11" t="s">
        <v>92</v>
      </c>
      <c r="H63" s="11" t="s">
        <v>31</v>
      </c>
      <c r="I63" s="35" t="s">
        <v>1979</v>
      </c>
      <c r="J63" s="12">
        <v>3</v>
      </c>
      <c r="K63" s="12">
        <v>0</v>
      </c>
    </row>
    <row r="64" spans="1:11" ht="37.5" x14ac:dyDescent="0.35">
      <c r="A64" s="12">
        <v>59</v>
      </c>
      <c r="B64" s="22" t="s">
        <v>750</v>
      </c>
      <c r="C64" s="21" t="s">
        <v>751</v>
      </c>
      <c r="D64" s="21" t="s">
        <v>20</v>
      </c>
      <c r="E64" s="21" t="s">
        <v>1980</v>
      </c>
      <c r="F64" s="21" t="s">
        <v>17</v>
      </c>
      <c r="G64" s="21" t="s">
        <v>42</v>
      </c>
      <c r="H64" s="21" t="s">
        <v>31</v>
      </c>
      <c r="I64" s="38" t="s">
        <v>1981</v>
      </c>
      <c r="J64" s="22">
        <v>3</v>
      </c>
      <c r="K64" s="22">
        <v>0</v>
      </c>
    </row>
    <row r="65" spans="1:11" ht="37.5" x14ac:dyDescent="0.35">
      <c r="A65" s="22">
        <v>60</v>
      </c>
      <c r="B65" s="22" t="s">
        <v>770</v>
      </c>
      <c r="C65" s="21" t="s">
        <v>759</v>
      </c>
      <c r="D65" s="21" t="s">
        <v>20</v>
      </c>
      <c r="E65" s="21" t="s">
        <v>1986</v>
      </c>
      <c r="F65" s="21" t="s">
        <v>17</v>
      </c>
      <c r="G65" s="21" t="s">
        <v>42</v>
      </c>
      <c r="H65" s="21" t="s">
        <v>31</v>
      </c>
      <c r="I65" s="38" t="s">
        <v>1987</v>
      </c>
      <c r="J65" s="22">
        <v>3</v>
      </c>
      <c r="K65" s="22">
        <v>0</v>
      </c>
    </row>
    <row r="66" spans="1:11" ht="37.5" x14ac:dyDescent="0.35">
      <c r="A66" s="12">
        <v>61</v>
      </c>
      <c r="B66" s="22" t="s">
        <v>785</v>
      </c>
      <c r="C66" s="21" t="s">
        <v>759</v>
      </c>
      <c r="D66" s="21" t="s">
        <v>20</v>
      </c>
      <c r="E66" s="21" t="s">
        <v>1990</v>
      </c>
      <c r="F66" s="21" t="s">
        <v>17</v>
      </c>
      <c r="G66" s="21" t="s">
        <v>18</v>
      </c>
      <c r="H66" s="21" t="s">
        <v>55</v>
      </c>
      <c r="I66" s="38" t="s">
        <v>1991</v>
      </c>
      <c r="J66" s="22">
        <v>3</v>
      </c>
      <c r="K66" s="22">
        <v>0</v>
      </c>
    </row>
    <row r="67" spans="1:11" ht="37.5" x14ac:dyDescent="0.35">
      <c r="A67" s="22">
        <v>62</v>
      </c>
      <c r="B67" s="12" t="s">
        <v>792</v>
      </c>
      <c r="C67" s="11" t="s">
        <v>793</v>
      </c>
      <c r="D67" s="11" t="s">
        <v>20</v>
      </c>
      <c r="E67" s="11" t="s">
        <v>1992</v>
      </c>
      <c r="F67" s="11" t="s">
        <v>17</v>
      </c>
      <c r="G67" s="11" t="s">
        <v>42</v>
      </c>
      <c r="H67" s="11" t="s">
        <v>31</v>
      </c>
      <c r="I67" s="35" t="s">
        <v>1993</v>
      </c>
      <c r="J67" s="12">
        <v>3</v>
      </c>
      <c r="K67" s="12">
        <v>0</v>
      </c>
    </row>
    <row r="68" spans="1:11" ht="50" x14ac:dyDescent="0.35">
      <c r="A68" s="12">
        <v>63</v>
      </c>
      <c r="B68" s="22" t="s">
        <v>800</v>
      </c>
      <c r="C68" s="21" t="s">
        <v>801</v>
      </c>
      <c r="D68" s="21" t="s">
        <v>20</v>
      </c>
      <c r="E68" s="21" t="s">
        <v>1994</v>
      </c>
      <c r="F68" s="21" t="s">
        <v>17</v>
      </c>
      <c r="G68" s="21" t="s">
        <v>30</v>
      </c>
      <c r="H68" s="21" t="s">
        <v>1912</v>
      </c>
      <c r="I68" s="38" t="s">
        <v>1995</v>
      </c>
      <c r="J68" s="22">
        <v>3</v>
      </c>
      <c r="K68" s="22">
        <v>0</v>
      </c>
    </row>
    <row r="69" spans="1:11" ht="37.5" x14ac:dyDescent="0.35">
      <c r="A69" s="22">
        <v>64</v>
      </c>
      <c r="B69" s="12" t="s">
        <v>808</v>
      </c>
      <c r="C69" s="11" t="s">
        <v>801</v>
      </c>
      <c r="D69" s="11" t="s">
        <v>20</v>
      </c>
      <c r="E69" s="11" t="s">
        <v>1996</v>
      </c>
      <c r="F69" s="11" t="s">
        <v>17</v>
      </c>
      <c r="G69" s="11" t="s">
        <v>30</v>
      </c>
      <c r="H69" s="11" t="s">
        <v>31</v>
      </c>
      <c r="I69" s="35" t="s">
        <v>1997</v>
      </c>
      <c r="J69" s="12">
        <v>3</v>
      </c>
      <c r="K69" s="12">
        <v>0</v>
      </c>
    </row>
    <row r="70" spans="1:11" ht="37.5" x14ac:dyDescent="0.35">
      <c r="A70" s="12">
        <v>65</v>
      </c>
      <c r="B70" s="22" t="s">
        <v>815</v>
      </c>
      <c r="C70" s="21" t="s">
        <v>801</v>
      </c>
      <c r="D70" s="21" t="s">
        <v>20</v>
      </c>
      <c r="E70" s="21" t="s">
        <v>1998</v>
      </c>
      <c r="F70" s="21" t="s">
        <v>17</v>
      </c>
      <c r="G70" s="21" t="s">
        <v>92</v>
      </c>
      <c r="H70" s="21" t="s">
        <v>55</v>
      </c>
      <c r="I70" s="38" t="s">
        <v>1999</v>
      </c>
      <c r="J70" s="22">
        <v>3</v>
      </c>
      <c r="K70" s="22">
        <v>0</v>
      </c>
    </row>
    <row r="71" spans="1:11" ht="37.5" x14ac:dyDescent="0.35">
      <c r="A71" s="22">
        <v>66</v>
      </c>
      <c r="B71" s="12" t="s">
        <v>822</v>
      </c>
      <c r="C71" s="11" t="s">
        <v>823</v>
      </c>
      <c r="D71" s="11" t="s">
        <v>20</v>
      </c>
      <c r="E71" s="11" t="s">
        <v>2000</v>
      </c>
      <c r="F71" s="11" t="s">
        <v>17</v>
      </c>
      <c r="G71" s="11" t="s">
        <v>18</v>
      </c>
      <c r="H71" s="11" t="s">
        <v>31</v>
      </c>
      <c r="I71" s="35" t="s">
        <v>2001</v>
      </c>
      <c r="J71" s="12">
        <v>3</v>
      </c>
      <c r="K71" s="12">
        <v>0</v>
      </c>
    </row>
    <row r="72" spans="1:11" ht="50" x14ac:dyDescent="0.35">
      <c r="A72" s="12">
        <v>67</v>
      </c>
      <c r="B72" s="22" t="s">
        <v>830</v>
      </c>
      <c r="C72" s="21" t="s">
        <v>831</v>
      </c>
      <c r="D72" s="21" t="s">
        <v>20</v>
      </c>
      <c r="E72" s="21" t="s">
        <v>2002</v>
      </c>
      <c r="F72" s="21" t="s">
        <v>17</v>
      </c>
      <c r="G72" s="21" t="s">
        <v>1800</v>
      </c>
      <c r="H72" s="21" t="s">
        <v>31</v>
      </c>
      <c r="I72" s="38" t="s">
        <v>2003</v>
      </c>
      <c r="J72" s="22">
        <v>3</v>
      </c>
      <c r="K72" s="22">
        <v>0</v>
      </c>
    </row>
    <row r="73" spans="1:11" ht="62.5" x14ac:dyDescent="0.35">
      <c r="A73" s="22">
        <v>68</v>
      </c>
      <c r="B73" s="12" t="s">
        <v>838</v>
      </c>
      <c r="C73" s="11" t="s">
        <v>839</v>
      </c>
      <c r="D73" s="11" t="s">
        <v>20</v>
      </c>
      <c r="E73" s="11" t="s">
        <v>2004</v>
      </c>
      <c r="F73" s="11" t="s">
        <v>17</v>
      </c>
      <c r="G73" s="11" t="s">
        <v>2005</v>
      </c>
      <c r="H73" s="11" t="s">
        <v>31</v>
      </c>
      <c r="I73" s="35" t="s">
        <v>2006</v>
      </c>
      <c r="J73" s="12">
        <v>3</v>
      </c>
      <c r="K73" s="12">
        <v>0</v>
      </c>
    </row>
    <row r="74" spans="1:11" ht="37.5" x14ac:dyDescent="0.35">
      <c r="A74" s="12">
        <v>69</v>
      </c>
      <c r="B74" s="22" t="s">
        <v>846</v>
      </c>
      <c r="C74" s="21" t="s">
        <v>847</v>
      </c>
      <c r="D74" s="21" t="s">
        <v>20</v>
      </c>
      <c r="E74" s="21" t="s">
        <v>2007</v>
      </c>
      <c r="F74" s="21" t="s">
        <v>17</v>
      </c>
      <c r="G74" s="21" t="s">
        <v>42</v>
      </c>
      <c r="H74" s="21" t="s">
        <v>31</v>
      </c>
      <c r="I74" s="38" t="s">
        <v>2008</v>
      </c>
      <c r="J74" s="22">
        <v>3</v>
      </c>
      <c r="K74" s="22">
        <v>0</v>
      </c>
    </row>
    <row r="75" spans="1:11" ht="37.5" x14ac:dyDescent="0.35">
      <c r="A75" s="22">
        <v>70</v>
      </c>
      <c r="B75" s="12" t="s">
        <v>854</v>
      </c>
      <c r="C75" s="11" t="s">
        <v>855</v>
      </c>
      <c r="D75" s="11" t="s">
        <v>20</v>
      </c>
      <c r="E75" s="11" t="s">
        <v>2009</v>
      </c>
      <c r="F75" s="11" t="s">
        <v>17</v>
      </c>
      <c r="G75" s="11" t="s">
        <v>30</v>
      </c>
      <c r="H75" s="11" t="s">
        <v>55</v>
      </c>
      <c r="I75" s="35" t="s">
        <v>2010</v>
      </c>
      <c r="J75" s="12">
        <v>3</v>
      </c>
      <c r="K75" s="12">
        <v>0</v>
      </c>
    </row>
    <row r="76" spans="1:11" ht="37.5" x14ac:dyDescent="0.35">
      <c r="A76" s="12">
        <v>71</v>
      </c>
      <c r="B76" s="12" t="s">
        <v>870</v>
      </c>
      <c r="C76" s="11" t="s">
        <v>871</v>
      </c>
      <c r="D76" s="11" t="s">
        <v>20</v>
      </c>
      <c r="E76" s="11" t="s">
        <v>2015</v>
      </c>
      <c r="F76" s="11" t="s">
        <v>17</v>
      </c>
      <c r="G76" s="11" t="s">
        <v>30</v>
      </c>
      <c r="H76" s="11" t="s">
        <v>55</v>
      </c>
      <c r="I76" s="35" t="s">
        <v>2016</v>
      </c>
      <c r="J76" s="12">
        <v>3</v>
      </c>
      <c r="K76" s="12">
        <v>0</v>
      </c>
    </row>
    <row r="77" spans="1:11" ht="37.5" x14ac:dyDescent="0.35">
      <c r="A77" s="22">
        <v>72</v>
      </c>
      <c r="B77" s="12" t="s">
        <v>886</v>
      </c>
      <c r="C77" s="11" t="s">
        <v>887</v>
      </c>
      <c r="D77" s="11" t="s">
        <v>20</v>
      </c>
      <c r="E77" s="11" t="s">
        <v>2019</v>
      </c>
      <c r="F77" s="11" t="s">
        <v>17</v>
      </c>
      <c r="G77" s="11" t="s">
        <v>92</v>
      </c>
      <c r="H77" s="11" t="s">
        <v>55</v>
      </c>
      <c r="I77" s="35" t="s">
        <v>2020</v>
      </c>
      <c r="J77" s="12">
        <v>3</v>
      </c>
      <c r="K77" s="12">
        <v>0</v>
      </c>
    </row>
    <row r="78" spans="1:11" ht="62.5" x14ac:dyDescent="0.35">
      <c r="A78" s="12">
        <v>73</v>
      </c>
      <c r="B78" s="12" t="s">
        <v>903</v>
      </c>
      <c r="C78" s="11" t="s">
        <v>904</v>
      </c>
      <c r="D78" s="11" t="s">
        <v>20</v>
      </c>
      <c r="E78" s="11" t="s">
        <v>2025</v>
      </c>
      <c r="F78" s="11" t="s">
        <v>17</v>
      </c>
      <c r="G78" s="11" t="s">
        <v>2026</v>
      </c>
      <c r="H78" s="11" t="s">
        <v>1790</v>
      </c>
      <c r="I78" s="35" t="s">
        <v>2027</v>
      </c>
      <c r="J78" s="12">
        <v>3</v>
      </c>
      <c r="K78" s="12">
        <v>0</v>
      </c>
    </row>
    <row r="79" spans="1:11" ht="37.5" x14ac:dyDescent="0.35">
      <c r="A79" s="22">
        <v>74</v>
      </c>
      <c r="B79" s="12" t="s">
        <v>920</v>
      </c>
      <c r="C79" s="11" t="s">
        <v>921</v>
      </c>
      <c r="D79" s="11" t="s">
        <v>20</v>
      </c>
      <c r="E79" s="11" t="s">
        <v>2031</v>
      </c>
      <c r="F79" s="11" t="s">
        <v>17</v>
      </c>
      <c r="G79" s="11" t="s">
        <v>92</v>
      </c>
      <c r="H79" s="11" t="s">
        <v>55</v>
      </c>
      <c r="I79" s="35" t="s">
        <v>2032</v>
      </c>
      <c r="J79" s="12">
        <v>3</v>
      </c>
      <c r="K79" s="12">
        <v>0</v>
      </c>
    </row>
    <row r="80" spans="1:11" ht="37.5" x14ac:dyDescent="0.35">
      <c r="A80" s="12">
        <v>75</v>
      </c>
      <c r="B80" s="22" t="s">
        <v>928</v>
      </c>
      <c r="C80" s="21" t="s">
        <v>929</v>
      </c>
      <c r="D80" s="21" t="s">
        <v>20</v>
      </c>
      <c r="E80" s="21" t="s">
        <v>2033</v>
      </c>
      <c r="F80" s="21" t="s">
        <v>17</v>
      </c>
      <c r="G80" s="21" t="s">
        <v>42</v>
      </c>
      <c r="H80" s="21" t="s">
        <v>31</v>
      </c>
      <c r="I80" s="38" t="s">
        <v>2034</v>
      </c>
      <c r="J80" s="22">
        <v>3</v>
      </c>
      <c r="K80" s="22">
        <v>0</v>
      </c>
    </row>
    <row r="81" spans="1:11" ht="62.5" x14ac:dyDescent="0.35">
      <c r="A81" s="22">
        <v>76</v>
      </c>
      <c r="B81" s="12" t="s">
        <v>952</v>
      </c>
      <c r="C81" s="11" t="s">
        <v>953</v>
      </c>
      <c r="D81" s="11" t="s">
        <v>20</v>
      </c>
      <c r="E81" s="11" t="s">
        <v>2040</v>
      </c>
      <c r="F81" s="11" t="s">
        <v>2041</v>
      </c>
      <c r="G81" s="11" t="s">
        <v>92</v>
      </c>
      <c r="H81" s="11" t="s">
        <v>31</v>
      </c>
      <c r="I81" s="35" t="s">
        <v>2042</v>
      </c>
      <c r="J81" s="12">
        <v>3</v>
      </c>
      <c r="K81" s="12">
        <v>0</v>
      </c>
    </row>
    <row r="82" spans="1:11" ht="50" x14ac:dyDescent="0.35">
      <c r="A82" s="12">
        <v>77</v>
      </c>
      <c r="B82" s="22" t="s">
        <v>961</v>
      </c>
      <c r="C82" s="21" t="s">
        <v>962</v>
      </c>
      <c r="D82" s="21" t="s">
        <v>20</v>
      </c>
      <c r="E82" s="21" t="s">
        <v>2043</v>
      </c>
      <c r="F82" s="21" t="s">
        <v>17</v>
      </c>
      <c r="G82" s="21" t="s">
        <v>1789</v>
      </c>
      <c r="H82" s="21" t="s">
        <v>55</v>
      </c>
      <c r="I82" s="38" t="s">
        <v>2044</v>
      </c>
      <c r="J82" s="22">
        <v>3</v>
      </c>
      <c r="K82" s="22">
        <v>0</v>
      </c>
    </row>
    <row r="83" spans="1:11" ht="37.5" x14ac:dyDescent="0.35">
      <c r="A83" s="22">
        <v>78</v>
      </c>
      <c r="B83" s="22" t="s">
        <v>994</v>
      </c>
      <c r="C83" s="21" t="s">
        <v>995</v>
      </c>
      <c r="D83" s="21" t="s">
        <v>20</v>
      </c>
      <c r="E83" s="21" t="s">
        <v>2052</v>
      </c>
      <c r="F83" s="21" t="s">
        <v>17</v>
      </c>
      <c r="G83" s="21" t="s">
        <v>92</v>
      </c>
      <c r="H83" s="21" t="s">
        <v>31</v>
      </c>
      <c r="I83" s="38" t="s">
        <v>2053</v>
      </c>
      <c r="J83" s="22">
        <v>3</v>
      </c>
      <c r="K83" s="22">
        <v>0</v>
      </c>
    </row>
    <row r="84" spans="1:11" ht="37.5" x14ac:dyDescent="0.35">
      <c r="A84" s="12">
        <v>79</v>
      </c>
      <c r="B84" s="12" t="s">
        <v>1002</v>
      </c>
      <c r="C84" s="11" t="s">
        <v>1003</v>
      </c>
      <c r="D84" s="11" t="s">
        <v>20</v>
      </c>
      <c r="E84" s="11" t="s">
        <v>2054</v>
      </c>
      <c r="F84" s="11" t="s">
        <v>17</v>
      </c>
      <c r="G84" s="11" t="s">
        <v>42</v>
      </c>
      <c r="H84" s="11" t="s">
        <v>31</v>
      </c>
      <c r="I84" s="35" t="s">
        <v>2055</v>
      </c>
      <c r="J84" s="12">
        <v>3</v>
      </c>
      <c r="K84" s="12">
        <v>0</v>
      </c>
    </row>
    <row r="85" spans="1:11" ht="37.5" x14ac:dyDescent="0.35">
      <c r="A85" s="22">
        <v>80</v>
      </c>
      <c r="B85" s="22" t="s">
        <v>1010</v>
      </c>
      <c r="C85" s="21" t="s">
        <v>1011</v>
      </c>
      <c r="D85" s="21" t="s">
        <v>20</v>
      </c>
      <c r="E85" s="21" t="s">
        <v>2056</v>
      </c>
      <c r="F85" s="21" t="s">
        <v>17</v>
      </c>
      <c r="G85" s="21" t="s">
        <v>300</v>
      </c>
      <c r="H85" s="21" t="s">
        <v>19</v>
      </c>
      <c r="I85" s="38" t="s">
        <v>2057</v>
      </c>
      <c r="J85" s="22">
        <v>3</v>
      </c>
      <c r="K85" s="22">
        <v>0</v>
      </c>
    </row>
    <row r="86" spans="1:11" ht="37.5" x14ac:dyDescent="0.35">
      <c r="A86" s="12">
        <v>81</v>
      </c>
      <c r="B86" s="12" t="s">
        <v>1018</v>
      </c>
      <c r="C86" s="11" t="s">
        <v>1019</v>
      </c>
      <c r="D86" s="11" t="s">
        <v>20</v>
      </c>
      <c r="E86" s="11" t="s">
        <v>2058</v>
      </c>
      <c r="F86" s="11" t="s">
        <v>17</v>
      </c>
      <c r="G86" s="11" t="s">
        <v>92</v>
      </c>
      <c r="H86" s="11" t="s">
        <v>55</v>
      </c>
      <c r="I86" s="35" t="s">
        <v>2059</v>
      </c>
      <c r="J86" s="12">
        <v>3</v>
      </c>
      <c r="K86" s="12">
        <v>0</v>
      </c>
    </row>
    <row r="87" spans="1:11" ht="37.5" x14ac:dyDescent="0.35">
      <c r="A87" s="22">
        <v>82</v>
      </c>
      <c r="B87" s="22" t="s">
        <v>1026</v>
      </c>
      <c r="C87" s="21" t="s">
        <v>1027</v>
      </c>
      <c r="D87" s="21" t="s">
        <v>20</v>
      </c>
      <c r="E87" s="21" t="s">
        <v>2060</v>
      </c>
      <c r="F87" s="21" t="s">
        <v>17</v>
      </c>
      <c r="G87" s="21" t="s">
        <v>42</v>
      </c>
      <c r="H87" s="21" t="s">
        <v>31</v>
      </c>
      <c r="I87" s="38" t="s">
        <v>2061</v>
      </c>
      <c r="J87" s="22">
        <v>3</v>
      </c>
      <c r="K87" s="22">
        <v>0</v>
      </c>
    </row>
    <row r="88" spans="1:11" ht="75" x14ac:dyDescent="0.35">
      <c r="A88" s="12">
        <v>83</v>
      </c>
      <c r="B88" s="12" t="s">
        <v>1034</v>
      </c>
      <c r="C88" s="11" t="s">
        <v>1035</v>
      </c>
      <c r="D88" s="11" t="s">
        <v>20</v>
      </c>
      <c r="E88" s="11" t="s">
        <v>2062</v>
      </c>
      <c r="F88" s="11" t="s">
        <v>2063</v>
      </c>
      <c r="G88" s="11" t="s">
        <v>2064</v>
      </c>
      <c r="H88" s="11" t="s">
        <v>31</v>
      </c>
      <c r="I88" s="35" t="s">
        <v>2065</v>
      </c>
      <c r="J88" s="12">
        <v>3</v>
      </c>
      <c r="K88" s="12">
        <v>0</v>
      </c>
    </row>
    <row r="89" spans="1:11" ht="37.5" x14ac:dyDescent="0.35">
      <c r="A89" s="22">
        <v>84</v>
      </c>
      <c r="B89" s="22" t="s">
        <v>1043</v>
      </c>
      <c r="C89" s="21" t="s">
        <v>1044</v>
      </c>
      <c r="D89" s="21" t="s">
        <v>20</v>
      </c>
      <c r="E89" s="21" t="s">
        <v>2066</v>
      </c>
      <c r="F89" s="21" t="s">
        <v>17</v>
      </c>
      <c r="G89" s="21" t="s">
        <v>42</v>
      </c>
      <c r="H89" s="21" t="s">
        <v>31</v>
      </c>
      <c r="I89" s="38" t="s">
        <v>2067</v>
      </c>
      <c r="J89" s="22">
        <v>3</v>
      </c>
      <c r="K89" s="22">
        <v>0</v>
      </c>
    </row>
    <row r="90" spans="1:11" ht="37.5" x14ac:dyDescent="0.35">
      <c r="A90" s="12">
        <v>85</v>
      </c>
      <c r="B90" s="12" t="s">
        <v>1051</v>
      </c>
      <c r="C90" s="11" t="s">
        <v>1052</v>
      </c>
      <c r="D90" s="11" t="s">
        <v>20</v>
      </c>
      <c r="E90" s="11" t="s">
        <v>2068</v>
      </c>
      <c r="F90" s="11" t="s">
        <v>17</v>
      </c>
      <c r="G90" s="11" t="s">
        <v>92</v>
      </c>
      <c r="H90" s="11" t="s">
        <v>55</v>
      </c>
      <c r="I90" s="35" t="s">
        <v>2069</v>
      </c>
      <c r="J90" s="12">
        <v>3</v>
      </c>
      <c r="K90" s="12">
        <v>0</v>
      </c>
    </row>
    <row r="91" spans="1:11" ht="37.5" x14ac:dyDescent="0.35">
      <c r="A91" s="22">
        <v>86</v>
      </c>
      <c r="B91" s="22" t="s">
        <v>1059</v>
      </c>
      <c r="C91" s="21" t="s">
        <v>1060</v>
      </c>
      <c r="D91" s="21" t="s">
        <v>20</v>
      </c>
      <c r="E91" s="21" t="s">
        <v>2070</v>
      </c>
      <c r="F91" s="21" t="s">
        <v>17</v>
      </c>
      <c r="G91" s="21" t="s">
        <v>18</v>
      </c>
      <c r="H91" s="21" t="s">
        <v>19</v>
      </c>
      <c r="I91" s="38" t="s">
        <v>2071</v>
      </c>
      <c r="J91" s="22">
        <v>3</v>
      </c>
      <c r="K91" s="22">
        <v>0</v>
      </c>
    </row>
    <row r="92" spans="1:11" ht="37.5" x14ac:dyDescent="0.35">
      <c r="A92" s="12">
        <v>87</v>
      </c>
      <c r="B92" s="12" t="s">
        <v>1083</v>
      </c>
      <c r="C92" s="11" t="s">
        <v>1084</v>
      </c>
      <c r="D92" s="11" t="s">
        <v>20</v>
      </c>
      <c r="E92" s="11" t="s">
        <v>2076</v>
      </c>
      <c r="F92" s="11" t="s">
        <v>17</v>
      </c>
      <c r="G92" s="11" t="s">
        <v>2077</v>
      </c>
      <c r="H92" s="11" t="s">
        <v>55</v>
      </c>
      <c r="I92" s="35" t="s">
        <v>2078</v>
      </c>
      <c r="J92" s="12">
        <v>3</v>
      </c>
      <c r="K92" s="12">
        <v>0</v>
      </c>
    </row>
    <row r="93" spans="1:11" ht="75" x14ac:dyDescent="0.35">
      <c r="A93" s="22">
        <v>88</v>
      </c>
      <c r="B93" s="22" t="s">
        <v>1091</v>
      </c>
      <c r="C93" s="21" t="s">
        <v>1092</v>
      </c>
      <c r="D93" s="21" t="s">
        <v>20</v>
      </c>
      <c r="E93" s="21" t="s">
        <v>2079</v>
      </c>
      <c r="F93" s="21" t="s">
        <v>2080</v>
      </c>
      <c r="G93" s="21" t="s">
        <v>2081</v>
      </c>
      <c r="H93" s="21" t="s">
        <v>1851</v>
      </c>
      <c r="I93" s="38" t="s">
        <v>2082</v>
      </c>
      <c r="J93" s="22">
        <v>3</v>
      </c>
      <c r="K93" s="22">
        <v>0</v>
      </c>
    </row>
    <row r="94" spans="1:11" ht="37.5" x14ac:dyDescent="0.35">
      <c r="A94" s="12">
        <v>89</v>
      </c>
      <c r="B94" s="12" t="s">
        <v>1100</v>
      </c>
      <c r="C94" s="11" t="s">
        <v>1101</v>
      </c>
      <c r="D94" s="11" t="s">
        <v>20</v>
      </c>
      <c r="E94" s="11" t="s">
        <v>2083</v>
      </c>
      <c r="F94" s="11" t="s">
        <v>17</v>
      </c>
      <c r="G94" s="11" t="s">
        <v>30</v>
      </c>
      <c r="H94" s="11" t="s">
        <v>2084</v>
      </c>
      <c r="I94" s="35" t="s">
        <v>2085</v>
      </c>
      <c r="J94" s="12">
        <v>3</v>
      </c>
      <c r="K94" s="12">
        <v>0</v>
      </c>
    </row>
    <row r="95" spans="1:11" ht="37.5" x14ac:dyDescent="0.35">
      <c r="A95" s="22">
        <v>90</v>
      </c>
      <c r="B95" s="22" t="s">
        <v>1108</v>
      </c>
      <c r="C95" s="21" t="s">
        <v>1109</v>
      </c>
      <c r="D95" s="21" t="s">
        <v>20</v>
      </c>
      <c r="E95" s="21" t="s">
        <v>2086</v>
      </c>
      <c r="F95" s="21" t="s">
        <v>17</v>
      </c>
      <c r="G95" s="21" t="s">
        <v>324</v>
      </c>
      <c r="H95" s="21" t="s">
        <v>31</v>
      </c>
      <c r="I95" s="38" t="s">
        <v>2087</v>
      </c>
      <c r="J95" s="22">
        <v>3</v>
      </c>
      <c r="K95" s="22">
        <v>0</v>
      </c>
    </row>
    <row r="96" spans="1:11" ht="50" x14ac:dyDescent="0.35">
      <c r="A96" s="12">
        <v>91</v>
      </c>
      <c r="B96" s="12" t="s">
        <v>1116</v>
      </c>
      <c r="C96" s="11" t="s">
        <v>1117</v>
      </c>
      <c r="D96" s="11" t="s">
        <v>20</v>
      </c>
      <c r="E96" s="11" t="s">
        <v>2088</v>
      </c>
      <c r="F96" s="11" t="s">
        <v>17</v>
      </c>
      <c r="G96" s="11" t="s">
        <v>1899</v>
      </c>
      <c r="H96" s="11" t="s">
        <v>55</v>
      </c>
      <c r="I96" s="35" t="s">
        <v>2089</v>
      </c>
      <c r="J96" s="12">
        <v>3</v>
      </c>
      <c r="K96" s="12">
        <v>0</v>
      </c>
    </row>
    <row r="97" spans="1:11" ht="37.5" x14ac:dyDescent="0.35">
      <c r="A97" s="22">
        <v>92</v>
      </c>
      <c r="B97" s="12" t="s">
        <v>1132</v>
      </c>
      <c r="C97" s="11" t="s">
        <v>1133</v>
      </c>
      <c r="D97" s="11" t="s">
        <v>20</v>
      </c>
      <c r="E97" s="11" t="s">
        <v>2092</v>
      </c>
      <c r="F97" s="11" t="s">
        <v>17</v>
      </c>
      <c r="G97" s="11" t="s">
        <v>92</v>
      </c>
      <c r="H97" s="11" t="s">
        <v>31</v>
      </c>
      <c r="I97" s="35" t="s">
        <v>2093</v>
      </c>
      <c r="J97" s="12">
        <v>3</v>
      </c>
      <c r="K97" s="12">
        <v>0</v>
      </c>
    </row>
    <row r="98" spans="1:11" ht="62.5" x14ac:dyDescent="0.35">
      <c r="A98" s="12">
        <v>93</v>
      </c>
      <c r="B98" s="22" t="s">
        <v>1140</v>
      </c>
      <c r="C98" s="21" t="s">
        <v>1141</v>
      </c>
      <c r="D98" s="21" t="s">
        <v>20</v>
      </c>
      <c r="E98" s="21" t="s">
        <v>2094</v>
      </c>
      <c r="F98" s="21" t="s">
        <v>17</v>
      </c>
      <c r="G98" s="21" t="s">
        <v>2095</v>
      </c>
      <c r="H98" s="21" t="s">
        <v>31</v>
      </c>
      <c r="I98" s="38" t="s">
        <v>2096</v>
      </c>
      <c r="J98" s="22">
        <v>3</v>
      </c>
      <c r="K98" s="22">
        <v>0</v>
      </c>
    </row>
    <row r="99" spans="1:11" ht="37.5" x14ac:dyDescent="0.35">
      <c r="A99" s="22">
        <v>94</v>
      </c>
      <c r="B99" s="12" t="s">
        <v>1148</v>
      </c>
      <c r="C99" s="11" t="s">
        <v>1149</v>
      </c>
      <c r="D99" s="11" t="s">
        <v>20</v>
      </c>
      <c r="E99" s="11" t="s">
        <v>2097</v>
      </c>
      <c r="F99" s="11" t="s">
        <v>17</v>
      </c>
      <c r="G99" s="11" t="s">
        <v>92</v>
      </c>
      <c r="H99" s="11" t="s">
        <v>193</v>
      </c>
      <c r="I99" s="35" t="s">
        <v>2098</v>
      </c>
      <c r="J99" s="12">
        <v>3</v>
      </c>
      <c r="K99" s="12">
        <v>0</v>
      </c>
    </row>
    <row r="100" spans="1:11" ht="37.5" x14ac:dyDescent="0.35">
      <c r="A100" s="12">
        <v>95</v>
      </c>
      <c r="B100" s="22" t="s">
        <v>1156</v>
      </c>
      <c r="C100" s="21" t="s">
        <v>1157</v>
      </c>
      <c r="D100" s="21" t="s">
        <v>20</v>
      </c>
      <c r="E100" s="21" t="s">
        <v>2099</v>
      </c>
      <c r="F100" s="21" t="s">
        <v>17</v>
      </c>
      <c r="G100" s="21" t="s">
        <v>2100</v>
      </c>
      <c r="H100" s="21" t="s">
        <v>31</v>
      </c>
      <c r="I100" s="38" t="s">
        <v>2101</v>
      </c>
      <c r="J100" s="22">
        <v>2</v>
      </c>
      <c r="K100" s="22">
        <v>0</v>
      </c>
    </row>
    <row r="101" spans="1:11" ht="25" x14ac:dyDescent="0.35">
      <c r="A101" s="22">
        <v>96</v>
      </c>
      <c r="B101" s="12" t="s">
        <v>1162</v>
      </c>
      <c r="C101" s="11" t="s">
        <v>1157</v>
      </c>
      <c r="D101" s="11" t="s">
        <v>20</v>
      </c>
      <c r="E101" s="11" t="s">
        <v>1163</v>
      </c>
      <c r="F101" s="11" t="s">
        <v>17</v>
      </c>
      <c r="G101" s="11" t="s">
        <v>30</v>
      </c>
      <c r="H101" s="11" t="s">
        <v>31</v>
      </c>
      <c r="I101" s="35" t="s">
        <v>1164</v>
      </c>
      <c r="J101" s="12">
        <v>1</v>
      </c>
      <c r="K101" s="12">
        <v>0</v>
      </c>
    </row>
    <row r="102" spans="1:11" ht="62.5" x14ac:dyDescent="0.35">
      <c r="A102" s="12">
        <v>97</v>
      </c>
      <c r="B102" s="12" t="s">
        <v>1173</v>
      </c>
      <c r="C102" s="11" t="s">
        <v>1174</v>
      </c>
      <c r="D102" s="11" t="s">
        <v>20</v>
      </c>
      <c r="E102" s="11" t="s">
        <v>2104</v>
      </c>
      <c r="F102" s="11" t="s">
        <v>17</v>
      </c>
      <c r="G102" s="11" t="s">
        <v>2105</v>
      </c>
      <c r="H102" s="11" t="s">
        <v>55</v>
      </c>
      <c r="I102" s="35" t="s">
        <v>2106</v>
      </c>
      <c r="J102" s="12">
        <v>3</v>
      </c>
      <c r="K102" s="12">
        <v>0</v>
      </c>
    </row>
    <row r="103" spans="1:11" ht="37.5" x14ac:dyDescent="0.35">
      <c r="A103" s="22">
        <v>98</v>
      </c>
      <c r="B103" s="22" t="s">
        <v>1181</v>
      </c>
      <c r="C103" s="21" t="s">
        <v>1182</v>
      </c>
      <c r="D103" s="21" t="s">
        <v>20</v>
      </c>
      <c r="E103" s="21" t="s">
        <v>2107</v>
      </c>
      <c r="F103" s="21" t="s">
        <v>17</v>
      </c>
      <c r="G103" s="21" t="s">
        <v>2108</v>
      </c>
      <c r="H103" s="21" t="s">
        <v>55</v>
      </c>
      <c r="I103" s="38" t="s">
        <v>2109</v>
      </c>
      <c r="J103" s="22">
        <v>3</v>
      </c>
      <c r="K103" s="22">
        <v>0</v>
      </c>
    </row>
    <row r="104" spans="1:11" ht="37.5" x14ac:dyDescent="0.35">
      <c r="A104" s="12">
        <v>99</v>
      </c>
      <c r="B104" s="12" t="s">
        <v>1189</v>
      </c>
      <c r="C104" s="11" t="s">
        <v>1190</v>
      </c>
      <c r="D104" s="11" t="s">
        <v>20</v>
      </c>
      <c r="E104" s="11" t="s">
        <v>2110</v>
      </c>
      <c r="F104" s="11" t="s">
        <v>17</v>
      </c>
      <c r="G104" s="11" t="s">
        <v>42</v>
      </c>
      <c r="H104" s="11" t="s">
        <v>31</v>
      </c>
      <c r="I104" s="35" t="s">
        <v>2111</v>
      </c>
      <c r="J104" s="12">
        <v>3</v>
      </c>
      <c r="K104" s="12">
        <v>0</v>
      </c>
    </row>
    <row r="105" spans="1:11" ht="37.5" x14ac:dyDescent="0.35">
      <c r="A105" s="22">
        <v>100</v>
      </c>
      <c r="B105" s="22" t="s">
        <v>1197</v>
      </c>
      <c r="C105" s="21" t="s">
        <v>1198</v>
      </c>
      <c r="D105" s="21" t="s">
        <v>20</v>
      </c>
      <c r="E105" s="21" t="s">
        <v>2112</v>
      </c>
      <c r="F105" s="21" t="s">
        <v>17</v>
      </c>
      <c r="G105" s="21" t="s">
        <v>92</v>
      </c>
      <c r="H105" s="21" t="s">
        <v>31</v>
      </c>
      <c r="I105" s="38" t="s">
        <v>2113</v>
      </c>
      <c r="J105" s="22">
        <v>3</v>
      </c>
      <c r="K105" s="22">
        <v>0</v>
      </c>
    </row>
    <row r="106" spans="1:11" ht="50" x14ac:dyDescent="0.35">
      <c r="A106" s="12">
        <v>101</v>
      </c>
      <c r="B106" s="12" t="s">
        <v>1205</v>
      </c>
      <c r="C106" s="11" t="s">
        <v>1206</v>
      </c>
      <c r="D106" s="11" t="s">
        <v>20</v>
      </c>
      <c r="E106" s="11" t="s">
        <v>2114</v>
      </c>
      <c r="F106" s="11" t="s">
        <v>17</v>
      </c>
      <c r="G106" s="11" t="s">
        <v>2115</v>
      </c>
      <c r="H106" s="11" t="s">
        <v>31</v>
      </c>
      <c r="I106" s="35" t="s">
        <v>2116</v>
      </c>
      <c r="J106" s="12">
        <v>3</v>
      </c>
      <c r="K106" s="12">
        <v>0</v>
      </c>
    </row>
    <row r="107" spans="1:11" ht="37.5" x14ac:dyDescent="0.35">
      <c r="A107" s="22">
        <v>102</v>
      </c>
      <c r="B107" s="22" t="s">
        <v>1213</v>
      </c>
      <c r="C107" s="21" t="s">
        <v>1214</v>
      </c>
      <c r="D107" s="21" t="s">
        <v>20</v>
      </c>
      <c r="E107" s="21" t="s">
        <v>2117</v>
      </c>
      <c r="F107" s="21" t="s">
        <v>17</v>
      </c>
      <c r="G107" s="21" t="s">
        <v>92</v>
      </c>
      <c r="H107" s="21" t="s">
        <v>31</v>
      </c>
      <c r="I107" s="38" t="s">
        <v>2118</v>
      </c>
      <c r="J107" s="22">
        <v>3</v>
      </c>
      <c r="K107" s="22">
        <v>0</v>
      </c>
    </row>
    <row r="108" spans="1:11" ht="37.5" x14ac:dyDescent="0.35">
      <c r="A108" s="12">
        <v>103</v>
      </c>
      <c r="B108" s="12" t="s">
        <v>1221</v>
      </c>
      <c r="C108" s="11" t="s">
        <v>1222</v>
      </c>
      <c r="D108" s="11" t="s">
        <v>20</v>
      </c>
      <c r="E108" s="11" t="s">
        <v>2119</v>
      </c>
      <c r="F108" s="11" t="s">
        <v>17</v>
      </c>
      <c r="G108" s="11" t="s">
        <v>92</v>
      </c>
      <c r="H108" s="11" t="s">
        <v>31</v>
      </c>
      <c r="I108" s="35" t="s">
        <v>2120</v>
      </c>
      <c r="J108" s="12">
        <v>3</v>
      </c>
      <c r="K108" s="12">
        <v>0</v>
      </c>
    </row>
    <row r="109" spans="1:11" ht="50" x14ac:dyDescent="0.35">
      <c r="A109" s="22">
        <v>104</v>
      </c>
      <c r="B109" s="12" t="s">
        <v>1237</v>
      </c>
      <c r="C109" s="11" t="s">
        <v>1238</v>
      </c>
      <c r="D109" s="11" t="s">
        <v>20</v>
      </c>
      <c r="E109" s="11" t="s">
        <v>2123</v>
      </c>
      <c r="F109" s="11" t="s">
        <v>17</v>
      </c>
      <c r="G109" s="11" t="s">
        <v>1800</v>
      </c>
      <c r="H109" s="11" t="s">
        <v>55</v>
      </c>
      <c r="I109" s="35" t="s">
        <v>2124</v>
      </c>
      <c r="J109" s="12">
        <v>3</v>
      </c>
      <c r="K109" s="12">
        <v>0</v>
      </c>
    </row>
    <row r="110" spans="1:11" ht="50" x14ac:dyDescent="0.35">
      <c r="A110" s="12">
        <v>105</v>
      </c>
      <c r="B110" s="22" t="s">
        <v>1245</v>
      </c>
      <c r="C110" s="21" t="s">
        <v>1246</v>
      </c>
      <c r="D110" s="21" t="s">
        <v>20</v>
      </c>
      <c r="E110" s="21" t="s">
        <v>2125</v>
      </c>
      <c r="F110" s="21" t="s">
        <v>17</v>
      </c>
      <c r="G110" s="21" t="s">
        <v>42</v>
      </c>
      <c r="H110" s="21" t="s">
        <v>31</v>
      </c>
      <c r="I110" s="38" t="s">
        <v>2126</v>
      </c>
      <c r="J110" s="22">
        <v>3</v>
      </c>
      <c r="K110" s="22">
        <v>0</v>
      </c>
    </row>
    <row r="111" spans="1:11" ht="37.5" x14ac:dyDescent="0.35">
      <c r="A111" s="22">
        <v>106</v>
      </c>
      <c r="B111" s="22" t="s">
        <v>1278</v>
      </c>
      <c r="C111" s="21" t="s">
        <v>1279</v>
      </c>
      <c r="D111" s="21" t="s">
        <v>20</v>
      </c>
      <c r="E111" s="21" t="s">
        <v>2133</v>
      </c>
      <c r="F111" s="21" t="s">
        <v>17</v>
      </c>
      <c r="G111" s="21" t="s">
        <v>1811</v>
      </c>
      <c r="H111" s="21" t="s">
        <v>55</v>
      </c>
      <c r="I111" s="38" t="s">
        <v>2134</v>
      </c>
      <c r="J111" s="22">
        <v>3</v>
      </c>
      <c r="K111" s="22">
        <v>0</v>
      </c>
    </row>
    <row r="112" spans="1:11" ht="37.5" x14ac:dyDescent="0.35">
      <c r="A112" s="12">
        <v>107</v>
      </c>
      <c r="B112" s="12" t="s">
        <v>1286</v>
      </c>
      <c r="C112" s="11" t="s">
        <v>1287</v>
      </c>
      <c r="D112" s="11" t="s">
        <v>20</v>
      </c>
      <c r="E112" s="11" t="s">
        <v>2135</v>
      </c>
      <c r="F112" s="11" t="s">
        <v>17</v>
      </c>
      <c r="G112" s="11" t="s">
        <v>294</v>
      </c>
      <c r="H112" s="11" t="s">
        <v>31</v>
      </c>
      <c r="I112" s="35" t="s">
        <v>2136</v>
      </c>
      <c r="J112" s="12">
        <v>3</v>
      </c>
      <c r="K112" s="12">
        <v>0</v>
      </c>
    </row>
    <row r="113" spans="1:11" ht="37.5" x14ac:dyDescent="0.35">
      <c r="A113" s="22">
        <v>108</v>
      </c>
      <c r="B113" s="22" t="s">
        <v>1326</v>
      </c>
      <c r="C113" s="21" t="s">
        <v>1327</v>
      </c>
      <c r="D113" s="21" t="s">
        <v>20</v>
      </c>
      <c r="E113" s="21" t="s">
        <v>2146</v>
      </c>
      <c r="F113" s="21" t="s">
        <v>17</v>
      </c>
      <c r="G113" s="21" t="s">
        <v>92</v>
      </c>
      <c r="H113" s="21" t="s">
        <v>55</v>
      </c>
      <c r="I113" s="38" t="s">
        <v>2147</v>
      </c>
      <c r="J113" s="22">
        <v>3</v>
      </c>
      <c r="K113" s="22">
        <v>0</v>
      </c>
    </row>
    <row r="114" spans="1:11" ht="62.5" x14ac:dyDescent="0.35">
      <c r="A114" s="12">
        <v>109</v>
      </c>
      <c r="B114" s="12" t="s">
        <v>1334</v>
      </c>
      <c r="C114" s="11" t="s">
        <v>1327</v>
      </c>
      <c r="D114" s="11" t="s">
        <v>20</v>
      </c>
      <c r="E114" s="11" t="s">
        <v>2148</v>
      </c>
      <c r="F114" s="11" t="s">
        <v>2149</v>
      </c>
      <c r="G114" s="11" t="s">
        <v>42</v>
      </c>
      <c r="H114" s="11" t="s">
        <v>19</v>
      </c>
      <c r="I114" s="35" t="s">
        <v>2150</v>
      </c>
      <c r="J114" s="12">
        <v>3</v>
      </c>
      <c r="K114" s="12">
        <v>0</v>
      </c>
    </row>
    <row r="115" spans="1:11" ht="50" x14ac:dyDescent="0.35">
      <c r="A115" s="22">
        <v>110</v>
      </c>
      <c r="B115" s="22" t="s">
        <v>1341</v>
      </c>
      <c r="C115" s="21" t="s">
        <v>1327</v>
      </c>
      <c r="D115" s="21" t="s">
        <v>20</v>
      </c>
      <c r="E115" s="21" t="s">
        <v>2151</v>
      </c>
      <c r="F115" s="21" t="s">
        <v>17</v>
      </c>
      <c r="G115" s="21" t="s">
        <v>92</v>
      </c>
      <c r="H115" s="21" t="s">
        <v>193</v>
      </c>
      <c r="I115" s="38" t="s">
        <v>2152</v>
      </c>
      <c r="J115" s="22">
        <v>3</v>
      </c>
      <c r="K115" s="22">
        <v>0</v>
      </c>
    </row>
    <row r="116" spans="1:11" ht="37.5" x14ac:dyDescent="0.35">
      <c r="A116" s="12">
        <v>111</v>
      </c>
      <c r="B116" s="12" t="s">
        <v>1348</v>
      </c>
      <c r="C116" s="11" t="s">
        <v>1349</v>
      </c>
      <c r="D116" s="11" t="s">
        <v>20</v>
      </c>
      <c r="E116" s="11" t="s">
        <v>2153</v>
      </c>
      <c r="F116" s="11" t="s">
        <v>17</v>
      </c>
      <c r="G116" s="11" t="s">
        <v>92</v>
      </c>
      <c r="H116" s="11" t="s">
        <v>19</v>
      </c>
      <c r="I116" s="35" t="s">
        <v>2154</v>
      </c>
      <c r="J116" s="12">
        <v>3</v>
      </c>
      <c r="K116" s="12">
        <v>0</v>
      </c>
    </row>
    <row r="117" spans="1:11" ht="37.5" x14ac:dyDescent="0.35">
      <c r="A117" s="22">
        <v>112</v>
      </c>
      <c r="B117" s="22" t="s">
        <v>1356</v>
      </c>
      <c r="C117" s="21" t="s">
        <v>1357</v>
      </c>
      <c r="D117" s="21" t="s">
        <v>20</v>
      </c>
      <c r="E117" s="21" t="s">
        <v>2155</v>
      </c>
      <c r="F117" s="21" t="s">
        <v>17</v>
      </c>
      <c r="G117" s="21" t="s">
        <v>30</v>
      </c>
      <c r="H117" s="21" t="s">
        <v>31</v>
      </c>
      <c r="I117" s="38" t="s">
        <v>2156</v>
      </c>
      <c r="J117" s="22">
        <v>3</v>
      </c>
      <c r="K117" s="22">
        <v>0</v>
      </c>
    </row>
    <row r="118" spans="1:11" ht="37.5" x14ac:dyDescent="0.35">
      <c r="A118" s="12">
        <v>113</v>
      </c>
      <c r="B118" s="12" t="s">
        <v>1364</v>
      </c>
      <c r="C118" s="11" t="s">
        <v>1365</v>
      </c>
      <c r="D118" s="11" t="s">
        <v>20</v>
      </c>
      <c r="E118" s="11" t="s">
        <v>2157</v>
      </c>
      <c r="F118" s="11" t="s">
        <v>17</v>
      </c>
      <c r="G118" s="11" t="s">
        <v>42</v>
      </c>
      <c r="H118" s="11" t="s">
        <v>31</v>
      </c>
      <c r="I118" s="35" t="s">
        <v>2158</v>
      </c>
      <c r="J118" s="12">
        <v>3</v>
      </c>
      <c r="K118" s="12">
        <v>0</v>
      </c>
    </row>
    <row r="119" spans="1:11" ht="37.5" x14ac:dyDescent="0.35">
      <c r="A119" s="22">
        <v>114</v>
      </c>
      <c r="B119" s="22" t="s">
        <v>1372</v>
      </c>
      <c r="C119" s="21" t="s">
        <v>1373</v>
      </c>
      <c r="D119" s="21" t="s">
        <v>20</v>
      </c>
      <c r="E119" s="21" t="s">
        <v>2159</v>
      </c>
      <c r="F119" s="21" t="s">
        <v>17</v>
      </c>
      <c r="G119" s="21" t="s">
        <v>42</v>
      </c>
      <c r="H119" s="21" t="s">
        <v>31</v>
      </c>
      <c r="I119" s="38" t="s">
        <v>2160</v>
      </c>
      <c r="J119" s="22">
        <v>3</v>
      </c>
      <c r="K119" s="22">
        <v>0</v>
      </c>
    </row>
    <row r="120" spans="1:11" ht="87.5" x14ac:dyDescent="0.35">
      <c r="A120" s="12">
        <v>115</v>
      </c>
      <c r="B120" s="12" t="s">
        <v>1380</v>
      </c>
      <c r="C120" s="11" t="s">
        <v>1381</v>
      </c>
      <c r="D120" s="11" t="s">
        <v>20</v>
      </c>
      <c r="E120" s="11" t="s">
        <v>2161</v>
      </c>
      <c r="F120" s="11" t="s">
        <v>2162</v>
      </c>
      <c r="G120" s="11" t="s">
        <v>2163</v>
      </c>
      <c r="H120" s="11" t="s">
        <v>31</v>
      </c>
      <c r="I120" s="35" t="s">
        <v>2164</v>
      </c>
      <c r="J120" s="12">
        <v>3</v>
      </c>
      <c r="K120" s="12">
        <v>0</v>
      </c>
    </row>
    <row r="121" spans="1:11" ht="50" x14ac:dyDescent="0.35">
      <c r="A121" s="22">
        <v>116</v>
      </c>
      <c r="B121" s="22" t="s">
        <v>1388</v>
      </c>
      <c r="C121" s="21" t="s">
        <v>1389</v>
      </c>
      <c r="D121" s="21" t="s">
        <v>20</v>
      </c>
      <c r="E121" s="21" t="s">
        <v>2165</v>
      </c>
      <c r="F121" s="21" t="s">
        <v>17</v>
      </c>
      <c r="G121" s="21" t="s">
        <v>1899</v>
      </c>
      <c r="H121" s="21" t="s">
        <v>31</v>
      </c>
      <c r="I121" s="38" t="s">
        <v>2166</v>
      </c>
      <c r="J121" s="22">
        <v>3</v>
      </c>
      <c r="K121" s="22">
        <v>0</v>
      </c>
    </row>
    <row r="122" spans="1:11" ht="37.5" x14ac:dyDescent="0.35">
      <c r="A122" s="12">
        <v>117</v>
      </c>
      <c r="B122" s="22" t="s">
        <v>1404</v>
      </c>
      <c r="C122" s="21" t="s">
        <v>1405</v>
      </c>
      <c r="D122" s="21" t="s">
        <v>20</v>
      </c>
      <c r="E122" s="21" t="s">
        <v>2170</v>
      </c>
      <c r="F122" s="21" t="s">
        <v>17</v>
      </c>
      <c r="G122" s="21" t="s">
        <v>42</v>
      </c>
      <c r="H122" s="21" t="s">
        <v>55</v>
      </c>
      <c r="I122" s="38" t="s">
        <v>2171</v>
      </c>
      <c r="J122" s="22">
        <v>3</v>
      </c>
      <c r="K122" s="22">
        <v>0</v>
      </c>
    </row>
    <row r="123" spans="1:11" ht="37.5" x14ac:dyDescent="0.35">
      <c r="A123" s="22">
        <v>118</v>
      </c>
      <c r="B123" s="12" t="s">
        <v>1412</v>
      </c>
      <c r="C123" s="11" t="s">
        <v>1413</v>
      </c>
      <c r="D123" s="11" t="s">
        <v>20</v>
      </c>
      <c r="E123" s="11" t="s">
        <v>2172</v>
      </c>
      <c r="F123" s="11" t="s">
        <v>17</v>
      </c>
      <c r="G123" s="11" t="s">
        <v>2173</v>
      </c>
      <c r="H123" s="11" t="s">
        <v>2174</v>
      </c>
      <c r="I123" s="35" t="s">
        <v>2175</v>
      </c>
      <c r="J123" s="12">
        <v>3</v>
      </c>
      <c r="K123" s="12">
        <v>0</v>
      </c>
    </row>
    <row r="124" spans="1:11" ht="37.5" x14ac:dyDescent="0.35">
      <c r="A124" s="12">
        <v>119</v>
      </c>
      <c r="B124" s="12" t="s">
        <v>1428</v>
      </c>
      <c r="C124" s="11" t="s">
        <v>1429</v>
      </c>
      <c r="D124" s="11" t="s">
        <v>20</v>
      </c>
      <c r="E124" s="11" t="s">
        <v>2179</v>
      </c>
      <c r="F124" s="11" t="s">
        <v>17</v>
      </c>
      <c r="G124" s="11" t="s">
        <v>42</v>
      </c>
      <c r="H124" s="11" t="s">
        <v>31</v>
      </c>
      <c r="I124" s="35" t="s">
        <v>2180</v>
      </c>
      <c r="J124" s="12">
        <v>3</v>
      </c>
      <c r="K124" s="12">
        <v>0</v>
      </c>
    </row>
    <row r="125" spans="1:11" ht="37.5" x14ac:dyDescent="0.35">
      <c r="A125" s="22">
        <v>120</v>
      </c>
      <c r="B125" s="22" t="s">
        <v>1436</v>
      </c>
      <c r="C125" s="21" t="s">
        <v>1437</v>
      </c>
      <c r="D125" s="21" t="s">
        <v>20</v>
      </c>
      <c r="E125" s="21" t="s">
        <v>2181</v>
      </c>
      <c r="F125" s="21" t="s">
        <v>17</v>
      </c>
      <c r="G125" s="21" t="s">
        <v>30</v>
      </c>
      <c r="H125" s="21" t="s">
        <v>55</v>
      </c>
      <c r="I125" s="38" t="s">
        <v>2182</v>
      </c>
      <c r="J125" s="22">
        <v>3</v>
      </c>
      <c r="K125" s="22">
        <v>0</v>
      </c>
    </row>
    <row r="126" spans="1:11" ht="37.5" x14ac:dyDescent="0.35">
      <c r="A126" s="12">
        <v>121</v>
      </c>
      <c r="B126" s="12" t="s">
        <v>1444</v>
      </c>
      <c r="C126" s="11" t="s">
        <v>1445</v>
      </c>
      <c r="D126" s="11" t="s">
        <v>20</v>
      </c>
      <c r="E126" s="11" t="s">
        <v>2183</v>
      </c>
      <c r="F126" s="11" t="s">
        <v>17</v>
      </c>
      <c r="G126" s="11" t="s">
        <v>30</v>
      </c>
      <c r="H126" s="11" t="s">
        <v>55</v>
      </c>
      <c r="I126" s="35" t="s">
        <v>2184</v>
      </c>
      <c r="J126" s="12">
        <v>3</v>
      </c>
      <c r="K126" s="12">
        <v>0</v>
      </c>
    </row>
    <row r="127" spans="1:11" ht="37.5" x14ac:dyDescent="0.35">
      <c r="A127" s="22">
        <v>122</v>
      </c>
      <c r="B127" s="22" t="s">
        <v>1452</v>
      </c>
      <c r="C127" s="21" t="s">
        <v>1453</v>
      </c>
      <c r="D127" s="21" t="s">
        <v>20</v>
      </c>
      <c r="E127" s="21" t="s">
        <v>2185</v>
      </c>
      <c r="F127" s="21" t="s">
        <v>17</v>
      </c>
      <c r="G127" s="21" t="s">
        <v>30</v>
      </c>
      <c r="H127" s="21" t="s">
        <v>55</v>
      </c>
      <c r="I127" s="38" t="s">
        <v>2186</v>
      </c>
      <c r="J127" s="22">
        <v>3</v>
      </c>
      <c r="K127" s="22">
        <v>0</v>
      </c>
    </row>
    <row r="128" spans="1:11" ht="37.5" x14ac:dyDescent="0.35">
      <c r="A128" s="12">
        <v>123</v>
      </c>
      <c r="B128" s="12" t="s">
        <v>1460</v>
      </c>
      <c r="C128" s="11" t="s">
        <v>1461</v>
      </c>
      <c r="D128" s="11" t="s">
        <v>1463</v>
      </c>
      <c r="E128" s="11" t="s">
        <v>2187</v>
      </c>
      <c r="F128" s="11" t="s">
        <v>17</v>
      </c>
      <c r="G128" s="11" t="s">
        <v>92</v>
      </c>
      <c r="H128" s="11" t="s">
        <v>55</v>
      </c>
      <c r="I128" s="35" t="s">
        <v>2188</v>
      </c>
      <c r="J128" s="12">
        <v>3</v>
      </c>
      <c r="K128" s="12">
        <v>0</v>
      </c>
    </row>
    <row r="129" spans="1:11" ht="62.5" x14ac:dyDescent="0.35">
      <c r="A129" s="22">
        <v>124</v>
      </c>
      <c r="B129" s="22" t="s">
        <v>1469</v>
      </c>
      <c r="C129" s="21" t="s">
        <v>1470</v>
      </c>
      <c r="D129" s="21" t="s">
        <v>1463</v>
      </c>
      <c r="E129" s="21" t="s">
        <v>2189</v>
      </c>
      <c r="F129" s="21" t="s">
        <v>2190</v>
      </c>
      <c r="G129" s="21" t="s">
        <v>2191</v>
      </c>
      <c r="H129" s="21" t="s">
        <v>55</v>
      </c>
      <c r="I129" s="38" t="s">
        <v>2192</v>
      </c>
      <c r="J129" s="22">
        <v>3</v>
      </c>
      <c r="K129" s="22">
        <v>0</v>
      </c>
    </row>
    <row r="130" spans="1:11" ht="37.5" x14ac:dyDescent="0.35">
      <c r="A130" s="12">
        <v>125</v>
      </c>
      <c r="B130" s="22" t="s">
        <v>1487</v>
      </c>
      <c r="C130" s="21" t="s">
        <v>1488</v>
      </c>
      <c r="D130" s="21" t="s">
        <v>1463</v>
      </c>
      <c r="E130" s="21" t="s">
        <v>2195</v>
      </c>
      <c r="F130" s="21" t="s">
        <v>17</v>
      </c>
      <c r="G130" s="21" t="s">
        <v>92</v>
      </c>
      <c r="H130" s="21" t="s">
        <v>2196</v>
      </c>
      <c r="I130" s="38" t="s">
        <v>2197</v>
      </c>
      <c r="J130" s="22">
        <v>3</v>
      </c>
      <c r="K130" s="22">
        <v>0</v>
      </c>
    </row>
    <row r="131" spans="1:11" ht="37.5" x14ac:dyDescent="0.35">
      <c r="A131" s="22">
        <v>126</v>
      </c>
      <c r="B131" s="12" t="s">
        <v>1511</v>
      </c>
      <c r="C131" s="11" t="s">
        <v>1512</v>
      </c>
      <c r="D131" s="11" t="s">
        <v>1463</v>
      </c>
      <c r="E131" s="11" t="s">
        <v>2202</v>
      </c>
      <c r="F131" s="11" t="s">
        <v>17</v>
      </c>
      <c r="G131" s="11" t="s">
        <v>2203</v>
      </c>
      <c r="H131" s="11" t="s">
        <v>55</v>
      </c>
      <c r="I131" s="35" t="s">
        <v>2204</v>
      </c>
      <c r="J131" s="12">
        <v>3</v>
      </c>
      <c r="K131" s="12">
        <v>0</v>
      </c>
    </row>
    <row r="132" spans="1:11" ht="37.5" x14ac:dyDescent="0.35">
      <c r="A132" s="12">
        <v>127</v>
      </c>
      <c r="B132" s="12" t="s">
        <v>1527</v>
      </c>
      <c r="C132" s="11" t="s">
        <v>1528</v>
      </c>
      <c r="D132" s="11" t="s">
        <v>1463</v>
      </c>
      <c r="E132" s="11" t="s">
        <v>2209</v>
      </c>
      <c r="F132" s="11" t="s">
        <v>17</v>
      </c>
      <c r="G132" s="11" t="s">
        <v>300</v>
      </c>
      <c r="H132" s="11" t="s">
        <v>55</v>
      </c>
      <c r="I132" s="35" t="s">
        <v>2210</v>
      </c>
      <c r="J132" s="12">
        <v>3</v>
      </c>
      <c r="K132" s="12">
        <v>0</v>
      </c>
    </row>
    <row r="133" spans="1:11" ht="50" x14ac:dyDescent="0.35">
      <c r="A133" s="22">
        <v>128</v>
      </c>
      <c r="B133" s="12" t="s">
        <v>1543</v>
      </c>
      <c r="C133" s="11" t="s">
        <v>1544</v>
      </c>
      <c r="D133" s="11" t="s">
        <v>1463</v>
      </c>
      <c r="E133" s="11" t="s">
        <v>2213</v>
      </c>
      <c r="F133" s="11" t="s">
        <v>2214</v>
      </c>
      <c r="G133" s="11" t="s">
        <v>2140</v>
      </c>
      <c r="H133" s="11" t="s">
        <v>55</v>
      </c>
      <c r="I133" s="35" t="s">
        <v>2215</v>
      </c>
      <c r="J133" s="12">
        <v>3</v>
      </c>
      <c r="K133" s="12">
        <v>0</v>
      </c>
    </row>
    <row r="134" spans="1:11" ht="62.5" x14ac:dyDescent="0.35">
      <c r="A134" s="12">
        <v>129</v>
      </c>
      <c r="B134" s="22" t="s">
        <v>1569</v>
      </c>
      <c r="C134" s="21" t="s">
        <v>1570</v>
      </c>
      <c r="D134" s="21" t="s">
        <v>1463</v>
      </c>
      <c r="E134" s="21" t="s">
        <v>2220</v>
      </c>
      <c r="F134" s="21" t="s">
        <v>17</v>
      </c>
      <c r="G134" s="21" t="s">
        <v>92</v>
      </c>
      <c r="H134" s="21" t="s">
        <v>55</v>
      </c>
      <c r="I134" s="38" t="s">
        <v>2221</v>
      </c>
      <c r="J134" s="22">
        <v>3</v>
      </c>
      <c r="K134" s="22">
        <v>0</v>
      </c>
    </row>
    <row r="135" spans="1:11" ht="62.5" x14ac:dyDescent="0.35">
      <c r="A135" s="22">
        <v>130</v>
      </c>
      <c r="B135" s="12" t="s">
        <v>1577</v>
      </c>
      <c r="C135" s="11" t="s">
        <v>1578</v>
      </c>
      <c r="D135" s="11" t="s">
        <v>1463</v>
      </c>
      <c r="E135" s="11" t="s">
        <v>2222</v>
      </c>
      <c r="F135" s="11" t="s">
        <v>2223</v>
      </c>
      <c r="G135" s="11" t="s">
        <v>2224</v>
      </c>
      <c r="H135" s="11" t="s">
        <v>2225</v>
      </c>
      <c r="I135" s="35" t="s">
        <v>2226</v>
      </c>
      <c r="J135" s="12">
        <v>3</v>
      </c>
      <c r="K135" s="12">
        <v>0</v>
      </c>
    </row>
    <row r="136" spans="1:11" ht="37.5" x14ac:dyDescent="0.35">
      <c r="A136" s="12">
        <v>131</v>
      </c>
      <c r="B136" s="12" t="s">
        <v>1594</v>
      </c>
      <c r="C136" s="11" t="s">
        <v>1595</v>
      </c>
      <c r="D136" s="11" t="s">
        <v>1463</v>
      </c>
      <c r="E136" s="11" t="s">
        <v>2229</v>
      </c>
      <c r="F136" s="11" t="s">
        <v>17</v>
      </c>
      <c r="G136" s="11" t="s">
        <v>300</v>
      </c>
      <c r="H136" s="11" t="s">
        <v>55</v>
      </c>
      <c r="I136" s="35" t="s">
        <v>2230</v>
      </c>
      <c r="J136" s="12">
        <v>3</v>
      </c>
      <c r="K136" s="12">
        <v>0</v>
      </c>
    </row>
    <row r="137" spans="1:11" ht="37.5" x14ac:dyDescent="0.35">
      <c r="A137" s="22">
        <v>132</v>
      </c>
      <c r="B137" s="22" t="s">
        <v>1602</v>
      </c>
      <c r="C137" s="21" t="s">
        <v>1603</v>
      </c>
      <c r="D137" s="21" t="s">
        <v>1463</v>
      </c>
      <c r="E137" s="21" t="s">
        <v>2231</v>
      </c>
      <c r="F137" s="21" t="s">
        <v>17</v>
      </c>
      <c r="G137" s="21" t="s">
        <v>92</v>
      </c>
      <c r="H137" s="21" t="s">
        <v>55</v>
      </c>
      <c r="I137" s="38" t="s">
        <v>2232</v>
      </c>
      <c r="J137" s="22">
        <v>3</v>
      </c>
      <c r="K137" s="22">
        <v>0</v>
      </c>
    </row>
    <row r="138" spans="1:11" ht="37.5" x14ac:dyDescent="0.35">
      <c r="A138" s="12">
        <v>133</v>
      </c>
      <c r="B138" s="12" t="s">
        <v>1610</v>
      </c>
      <c r="C138" s="11" t="s">
        <v>1611</v>
      </c>
      <c r="D138" s="11" t="s">
        <v>1463</v>
      </c>
      <c r="E138" s="11" t="s">
        <v>2233</v>
      </c>
      <c r="F138" s="11" t="s">
        <v>17</v>
      </c>
      <c r="G138" s="11" t="s">
        <v>30</v>
      </c>
      <c r="H138" s="11" t="s">
        <v>55</v>
      </c>
      <c r="I138" s="35" t="s">
        <v>2234</v>
      </c>
      <c r="J138" s="12">
        <v>3</v>
      </c>
      <c r="K138" s="12">
        <v>0</v>
      </c>
    </row>
    <row r="139" spans="1:11" ht="75" x14ac:dyDescent="0.35">
      <c r="A139" s="22">
        <v>134</v>
      </c>
      <c r="B139" s="22" t="s">
        <v>1618</v>
      </c>
      <c r="C139" s="21" t="s">
        <v>1619</v>
      </c>
      <c r="D139" s="21" t="s">
        <v>1463</v>
      </c>
      <c r="E139" s="21" t="s">
        <v>2235</v>
      </c>
      <c r="F139" s="21" t="s">
        <v>2236</v>
      </c>
      <c r="G139" s="21" t="s">
        <v>2026</v>
      </c>
      <c r="H139" s="21" t="s">
        <v>55</v>
      </c>
      <c r="I139" s="38" t="s">
        <v>2237</v>
      </c>
      <c r="J139" s="22">
        <v>3</v>
      </c>
      <c r="K139" s="22">
        <v>0</v>
      </c>
    </row>
    <row r="140" spans="1:11" ht="37.5" x14ac:dyDescent="0.35">
      <c r="A140" s="12">
        <v>135</v>
      </c>
      <c r="B140" s="12" t="s">
        <v>1627</v>
      </c>
      <c r="C140" s="11" t="s">
        <v>1628</v>
      </c>
      <c r="D140" s="11" t="s">
        <v>1463</v>
      </c>
      <c r="E140" s="11" t="s">
        <v>2238</v>
      </c>
      <c r="F140" s="11" t="s">
        <v>17</v>
      </c>
      <c r="G140" s="11" t="s">
        <v>92</v>
      </c>
      <c r="H140" s="11" t="s">
        <v>55</v>
      </c>
      <c r="I140" s="35" t="s">
        <v>2239</v>
      </c>
      <c r="J140" s="12">
        <v>3</v>
      </c>
      <c r="K140" s="12">
        <v>0</v>
      </c>
    </row>
    <row r="141" spans="1:11" ht="37.5" x14ac:dyDescent="0.35">
      <c r="A141" s="22">
        <v>136</v>
      </c>
      <c r="B141" s="22" t="s">
        <v>1635</v>
      </c>
      <c r="C141" s="21" t="s">
        <v>1636</v>
      </c>
      <c r="D141" s="21" t="s">
        <v>1463</v>
      </c>
      <c r="E141" s="21" t="s">
        <v>2240</v>
      </c>
      <c r="F141" s="21" t="s">
        <v>17</v>
      </c>
      <c r="G141" s="21" t="s">
        <v>30</v>
      </c>
      <c r="H141" s="21" t="s">
        <v>55</v>
      </c>
      <c r="I141" s="38" t="s">
        <v>2241</v>
      </c>
      <c r="J141" s="22">
        <v>3</v>
      </c>
      <c r="K141" s="22">
        <v>0</v>
      </c>
    </row>
    <row r="142" spans="1:11" ht="37.5" x14ac:dyDescent="0.35">
      <c r="A142" s="12">
        <v>137</v>
      </c>
      <c r="B142" s="12" t="s">
        <v>1643</v>
      </c>
      <c r="C142" s="11" t="s">
        <v>1644</v>
      </c>
      <c r="D142" s="11" t="s">
        <v>1463</v>
      </c>
      <c r="E142" s="11" t="s">
        <v>2242</v>
      </c>
      <c r="F142" s="11" t="s">
        <v>17</v>
      </c>
      <c r="G142" s="11" t="s">
        <v>92</v>
      </c>
      <c r="H142" s="11" t="s">
        <v>55</v>
      </c>
      <c r="I142" s="35" t="s">
        <v>2243</v>
      </c>
      <c r="J142" s="12">
        <v>3</v>
      </c>
      <c r="K142" s="12">
        <v>0</v>
      </c>
    </row>
    <row r="143" spans="1:11" ht="37.5" x14ac:dyDescent="0.35">
      <c r="A143" s="22">
        <v>138</v>
      </c>
      <c r="B143" s="22" t="s">
        <v>1668</v>
      </c>
      <c r="C143" s="21" t="s">
        <v>1669</v>
      </c>
      <c r="D143" s="21" t="s">
        <v>1463</v>
      </c>
      <c r="E143" s="21" t="s">
        <v>2249</v>
      </c>
      <c r="F143" s="21" t="s">
        <v>17</v>
      </c>
      <c r="G143" s="21" t="s">
        <v>18</v>
      </c>
      <c r="H143" s="21" t="s">
        <v>55</v>
      </c>
      <c r="I143" s="38" t="s">
        <v>2250</v>
      </c>
      <c r="J143" s="22">
        <v>3</v>
      </c>
      <c r="K143" s="22">
        <v>0</v>
      </c>
    </row>
    <row r="144" spans="1:11" ht="37.5" x14ac:dyDescent="0.35">
      <c r="A144" s="12">
        <v>139</v>
      </c>
      <c r="B144" s="12" t="s">
        <v>1676</v>
      </c>
      <c r="C144" s="11" t="s">
        <v>1677</v>
      </c>
      <c r="D144" s="11" t="s">
        <v>1679</v>
      </c>
      <c r="E144" s="11" t="s">
        <v>2251</v>
      </c>
      <c r="F144" s="11" t="s">
        <v>17</v>
      </c>
      <c r="G144" s="11" t="s">
        <v>2252</v>
      </c>
      <c r="H144" s="11" t="s">
        <v>55</v>
      </c>
      <c r="I144" s="35" t="s">
        <v>2253</v>
      </c>
      <c r="J144" s="12">
        <v>3</v>
      </c>
      <c r="K144" s="12">
        <v>0</v>
      </c>
    </row>
    <row r="145" spans="1:11" ht="62.5" x14ac:dyDescent="0.35">
      <c r="A145" s="22">
        <v>140</v>
      </c>
      <c r="B145" s="22" t="s">
        <v>1685</v>
      </c>
      <c r="C145" s="21" t="s">
        <v>1686</v>
      </c>
      <c r="D145" s="21" t="s">
        <v>1679</v>
      </c>
      <c r="E145" s="21" t="s">
        <v>2254</v>
      </c>
      <c r="F145" s="21" t="s">
        <v>17</v>
      </c>
      <c r="G145" s="21" t="s">
        <v>2255</v>
      </c>
      <c r="H145" s="21" t="s">
        <v>55</v>
      </c>
      <c r="I145" s="38" t="s">
        <v>2256</v>
      </c>
      <c r="J145" s="22">
        <v>3</v>
      </c>
      <c r="K145" s="22">
        <v>0</v>
      </c>
    </row>
    <row r="146" spans="1:11" ht="37.5" x14ac:dyDescent="0.35">
      <c r="A146" s="12">
        <v>141</v>
      </c>
      <c r="B146" s="12" t="s">
        <v>1694</v>
      </c>
      <c r="C146" s="11" t="s">
        <v>1695</v>
      </c>
      <c r="D146" s="11" t="s">
        <v>1679</v>
      </c>
      <c r="E146" s="11" t="s">
        <v>2257</v>
      </c>
      <c r="F146" s="11" t="s">
        <v>17</v>
      </c>
      <c r="G146" s="11" t="s">
        <v>37</v>
      </c>
      <c r="H146" s="11" t="s">
        <v>55</v>
      </c>
      <c r="I146" s="35" t="s">
        <v>2258</v>
      </c>
      <c r="J146" s="12">
        <v>3</v>
      </c>
      <c r="K146" s="12">
        <v>0</v>
      </c>
    </row>
    <row r="147" spans="1:11" ht="37.5" x14ac:dyDescent="0.35">
      <c r="A147" s="22">
        <v>142</v>
      </c>
      <c r="B147" s="12" t="s">
        <v>1710</v>
      </c>
      <c r="C147" s="11" t="s">
        <v>1711</v>
      </c>
      <c r="D147" s="11" t="s">
        <v>1679</v>
      </c>
      <c r="E147" s="11" t="s">
        <v>2261</v>
      </c>
      <c r="F147" s="11" t="s">
        <v>17</v>
      </c>
      <c r="G147" s="11" t="s">
        <v>30</v>
      </c>
      <c r="H147" s="11" t="s">
        <v>55</v>
      </c>
      <c r="I147" s="35" t="s">
        <v>2262</v>
      </c>
      <c r="J147" s="12">
        <v>3</v>
      </c>
      <c r="K147" s="12">
        <v>0</v>
      </c>
    </row>
    <row r="148" spans="1:11" ht="50" x14ac:dyDescent="0.35">
      <c r="A148" s="12">
        <v>143</v>
      </c>
      <c r="B148" s="22" t="s">
        <v>1718</v>
      </c>
      <c r="C148" s="21" t="s">
        <v>1719</v>
      </c>
      <c r="D148" s="21" t="s">
        <v>1679</v>
      </c>
      <c r="E148" s="21" t="s">
        <v>2263</v>
      </c>
      <c r="F148" s="21" t="s">
        <v>17</v>
      </c>
      <c r="G148" s="21" t="s">
        <v>2115</v>
      </c>
      <c r="H148" s="21" t="s">
        <v>31</v>
      </c>
      <c r="I148" s="38" t="s">
        <v>2264</v>
      </c>
      <c r="J148" s="22">
        <v>3</v>
      </c>
      <c r="K148" s="22">
        <v>0</v>
      </c>
    </row>
    <row r="149" spans="1:11" ht="62.5" x14ac:dyDescent="0.35">
      <c r="A149" s="22">
        <v>144</v>
      </c>
      <c r="B149" s="12" t="s">
        <v>1726</v>
      </c>
      <c r="C149" s="11" t="s">
        <v>1727</v>
      </c>
      <c r="D149" s="11" t="s">
        <v>1679</v>
      </c>
      <c r="E149" s="11" t="s">
        <v>2265</v>
      </c>
      <c r="F149" s="11" t="s">
        <v>17</v>
      </c>
      <c r="G149" s="11" t="s">
        <v>92</v>
      </c>
      <c r="H149" s="11" t="s">
        <v>31</v>
      </c>
      <c r="I149" s="35" t="s">
        <v>2266</v>
      </c>
      <c r="J149" s="12">
        <v>3</v>
      </c>
      <c r="K149" s="12">
        <v>0</v>
      </c>
    </row>
    <row r="150" spans="1:11" ht="37.5" x14ac:dyDescent="0.35">
      <c r="A150" s="12">
        <v>145</v>
      </c>
      <c r="B150" s="22" t="s">
        <v>1734</v>
      </c>
      <c r="C150" s="21" t="s">
        <v>1735</v>
      </c>
      <c r="D150" s="21" t="s">
        <v>1679</v>
      </c>
      <c r="E150" s="21" t="s">
        <v>2267</v>
      </c>
      <c r="F150" s="21" t="s">
        <v>17</v>
      </c>
      <c r="G150" s="21" t="s">
        <v>30</v>
      </c>
      <c r="H150" s="21" t="s">
        <v>55</v>
      </c>
      <c r="I150" s="38" t="s">
        <v>2268</v>
      </c>
      <c r="J150" s="22">
        <v>3</v>
      </c>
      <c r="K150" s="2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A699-9A98-4CFD-A9A0-FAC158E998A6}">
  <dimension ref="A5:L74"/>
  <sheetViews>
    <sheetView topLeftCell="A70" zoomScale="85" zoomScaleNormal="85" workbookViewId="0">
      <selection activeCell="O6" sqref="O6"/>
    </sheetView>
  </sheetViews>
  <sheetFormatPr defaultRowHeight="14.5" x14ac:dyDescent="0.35"/>
  <cols>
    <col min="2" max="2" width="18.08984375" bestFit="1" customWidth="1"/>
    <col min="3" max="3" width="11.1796875" customWidth="1"/>
    <col min="4" max="4" width="14.26953125" customWidth="1"/>
    <col min="5" max="5" width="23.453125" customWidth="1"/>
    <col min="6" max="6" width="27.36328125" customWidth="1"/>
    <col min="9" max="9" width="12.7265625" customWidth="1"/>
  </cols>
  <sheetData>
    <row r="5" spans="1:12" ht="33.75" customHeight="1" x14ac:dyDescent="0.35">
      <c r="A5" s="7" t="s">
        <v>1769</v>
      </c>
      <c r="B5" s="7" t="s">
        <v>3</v>
      </c>
      <c r="C5" s="7" t="s">
        <v>4</v>
      </c>
      <c r="D5" s="7" t="s">
        <v>10</v>
      </c>
      <c r="E5" s="7" t="s">
        <v>1770</v>
      </c>
      <c r="F5" s="7" t="s">
        <v>7</v>
      </c>
      <c r="G5" s="7" t="s">
        <v>8</v>
      </c>
      <c r="H5" s="7" t="s">
        <v>9</v>
      </c>
      <c r="I5" s="7" t="s">
        <v>11</v>
      </c>
      <c r="J5" s="40" t="s">
        <v>1771</v>
      </c>
      <c r="K5" s="43"/>
      <c r="L5" s="43"/>
    </row>
    <row r="6" spans="1:12" ht="50" x14ac:dyDescent="0.35">
      <c r="A6" s="22">
        <v>1</v>
      </c>
      <c r="B6" s="22" t="s">
        <v>130</v>
      </c>
      <c r="C6" s="21" t="s">
        <v>131</v>
      </c>
      <c r="D6" s="21" t="s">
        <v>20</v>
      </c>
      <c r="E6" s="21" t="s">
        <v>1813</v>
      </c>
      <c r="F6" s="21" t="s">
        <v>1814</v>
      </c>
      <c r="G6" s="21" t="s">
        <v>1800</v>
      </c>
      <c r="H6" s="21" t="s">
        <v>31</v>
      </c>
      <c r="I6" s="38" t="s">
        <v>1815</v>
      </c>
      <c r="J6" s="22">
        <v>3</v>
      </c>
      <c r="K6" s="22"/>
      <c r="L6" s="44"/>
    </row>
    <row r="7" spans="1:12" ht="50" x14ac:dyDescent="0.35">
      <c r="A7" s="22">
        <v>2</v>
      </c>
      <c r="B7" s="22" t="s">
        <v>164</v>
      </c>
      <c r="C7" s="21" t="s">
        <v>165</v>
      </c>
      <c r="D7" s="21" t="s">
        <v>20</v>
      </c>
      <c r="E7" s="21" t="s">
        <v>1822</v>
      </c>
      <c r="F7" s="21" t="s">
        <v>167</v>
      </c>
      <c r="G7" s="21" t="s">
        <v>1800</v>
      </c>
      <c r="H7" s="21" t="s">
        <v>31</v>
      </c>
      <c r="I7" s="38" t="s">
        <v>1823</v>
      </c>
      <c r="J7" s="22">
        <v>3</v>
      </c>
      <c r="K7" s="22"/>
      <c r="L7" s="44"/>
    </row>
    <row r="8" spans="1:12" ht="50" x14ac:dyDescent="0.35">
      <c r="A8" s="22">
        <v>3</v>
      </c>
      <c r="B8" s="12" t="s">
        <v>189</v>
      </c>
      <c r="C8" s="11" t="s">
        <v>190</v>
      </c>
      <c r="D8" s="11" t="s">
        <v>20</v>
      </c>
      <c r="E8" s="11" t="s">
        <v>1828</v>
      </c>
      <c r="F8" s="11" t="s">
        <v>192</v>
      </c>
      <c r="G8" s="11" t="s">
        <v>1800</v>
      </c>
      <c r="H8" s="11" t="s">
        <v>193</v>
      </c>
      <c r="I8" s="35" t="s">
        <v>1829</v>
      </c>
      <c r="J8" s="12">
        <v>3</v>
      </c>
      <c r="K8" s="12"/>
      <c r="L8" s="44"/>
    </row>
    <row r="9" spans="1:12" ht="37.5" x14ac:dyDescent="0.35">
      <c r="A9" s="22">
        <v>4</v>
      </c>
      <c r="B9" s="22" t="s">
        <v>215</v>
      </c>
      <c r="C9" s="21" t="s">
        <v>216</v>
      </c>
      <c r="D9" s="21" t="s">
        <v>20</v>
      </c>
      <c r="E9" s="21" t="s">
        <v>1834</v>
      </c>
      <c r="F9" s="21" t="s">
        <v>218</v>
      </c>
      <c r="G9" s="21" t="s">
        <v>42</v>
      </c>
      <c r="H9" s="21" t="s">
        <v>31</v>
      </c>
      <c r="I9" s="38" t="s">
        <v>1835</v>
      </c>
      <c r="J9" s="22">
        <v>3</v>
      </c>
      <c r="K9" s="22"/>
      <c r="L9" s="44"/>
    </row>
    <row r="10" spans="1:12" ht="37.5" x14ac:dyDescent="0.35">
      <c r="A10" s="22">
        <v>5</v>
      </c>
      <c r="B10" s="22" t="s">
        <v>231</v>
      </c>
      <c r="C10" s="21" t="s">
        <v>232</v>
      </c>
      <c r="D10" s="21" t="s">
        <v>20</v>
      </c>
      <c r="E10" s="21" t="s">
        <v>1838</v>
      </c>
      <c r="F10" s="21" t="s">
        <v>234</v>
      </c>
      <c r="G10" s="21" t="s">
        <v>30</v>
      </c>
      <c r="H10" s="21" t="s">
        <v>55</v>
      </c>
      <c r="I10" s="38" t="s">
        <v>1839</v>
      </c>
      <c r="J10" s="22">
        <v>3</v>
      </c>
      <c r="K10" s="22"/>
      <c r="L10" s="44"/>
    </row>
    <row r="11" spans="1:12" ht="50" x14ac:dyDescent="0.35">
      <c r="A11" s="22">
        <v>6</v>
      </c>
      <c r="B11" s="12" t="s">
        <v>240</v>
      </c>
      <c r="C11" s="11" t="s">
        <v>241</v>
      </c>
      <c r="D11" s="11" t="s">
        <v>20</v>
      </c>
      <c r="E11" s="11" t="s">
        <v>1840</v>
      </c>
      <c r="F11" s="11" t="s">
        <v>243</v>
      </c>
      <c r="G11" s="11" t="s">
        <v>92</v>
      </c>
      <c r="H11" s="11" t="s">
        <v>55</v>
      </c>
      <c r="I11" s="35" t="s">
        <v>1841</v>
      </c>
      <c r="J11" s="12">
        <v>3</v>
      </c>
      <c r="K11" s="12"/>
      <c r="L11" s="44"/>
    </row>
    <row r="12" spans="1:12" ht="37.5" x14ac:dyDescent="0.35">
      <c r="A12" s="22">
        <v>7</v>
      </c>
      <c r="B12" s="12" t="s">
        <v>273</v>
      </c>
      <c r="C12" s="11" t="s">
        <v>274</v>
      </c>
      <c r="D12" s="11" t="s">
        <v>20</v>
      </c>
      <c r="E12" s="11" t="s">
        <v>1848</v>
      </c>
      <c r="F12" s="11" t="s">
        <v>218</v>
      </c>
      <c r="G12" s="11" t="s">
        <v>42</v>
      </c>
      <c r="H12" s="11" t="s">
        <v>55</v>
      </c>
      <c r="I12" s="35" t="s">
        <v>1849</v>
      </c>
      <c r="J12" s="12">
        <v>3</v>
      </c>
      <c r="K12" s="12"/>
      <c r="L12" s="44"/>
    </row>
    <row r="13" spans="1:12" ht="37.5" x14ac:dyDescent="0.35">
      <c r="A13" s="22">
        <v>8</v>
      </c>
      <c r="B13" s="22" t="s">
        <v>281</v>
      </c>
      <c r="C13" s="21" t="s">
        <v>282</v>
      </c>
      <c r="D13" s="21" t="s">
        <v>20</v>
      </c>
      <c r="E13" s="21" t="s">
        <v>1850</v>
      </c>
      <c r="F13" s="21" t="s">
        <v>284</v>
      </c>
      <c r="G13" s="21" t="s">
        <v>92</v>
      </c>
      <c r="H13" s="21" t="s">
        <v>1851</v>
      </c>
      <c r="I13" s="38" t="s">
        <v>1852</v>
      </c>
      <c r="J13" s="22">
        <v>3</v>
      </c>
      <c r="K13" s="22"/>
      <c r="L13" s="44"/>
    </row>
    <row r="14" spans="1:12" ht="50" x14ac:dyDescent="0.35">
      <c r="A14" s="22">
        <v>9</v>
      </c>
      <c r="B14" s="12" t="s">
        <v>290</v>
      </c>
      <c r="C14" s="11" t="s">
        <v>291</v>
      </c>
      <c r="D14" s="11" t="s">
        <v>20</v>
      </c>
      <c r="E14" s="11" t="s">
        <v>1853</v>
      </c>
      <c r="F14" s="11" t="s">
        <v>1854</v>
      </c>
      <c r="G14" s="11" t="s">
        <v>1855</v>
      </c>
      <c r="H14" s="11" t="s">
        <v>55</v>
      </c>
      <c r="I14" s="35" t="s">
        <v>1856</v>
      </c>
      <c r="J14" s="12">
        <v>3</v>
      </c>
      <c r="K14" s="12"/>
      <c r="L14" s="44"/>
    </row>
    <row r="15" spans="1:12" ht="50" x14ac:dyDescent="0.35">
      <c r="A15" s="22">
        <v>10</v>
      </c>
      <c r="B15" s="22" t="s">
        <v>317</v>
      </c>
      <c r="C15" s="21" t="s">
        <v>318</v>
      </c>
      <c r="D15" s="21" t="s">
        <v>20</v>
      </c>
      <c r="E15" s="21" t="s">
        <v>1861</v>
      </c>
      <c r="F15" s="21" t="s">
        <v>1862</v>
      </c>
      <c r="G15" s="21" t="s">
        <v>1863</v>
      </c>
      <c r="H15" s="21" t="s">
        <v>55</v>
      </c>
      <c r="I15" s="38" t="s">
        <v>1864</v>
      </c>
      <c r="J15" s="22">
        <v>3</v>
      </c>
      <c r="K15" s="22"/>
      <c r="L15" s="44"/>
    </row>
    <row r="16" spans="1:12" ht="37.5" x14ac:dyDescent="0.35">
      <c r="A16" s="22">
        <v>11</v>
      </c>
      <c r="B16" s="12" t="s">
        <v>344</v>
      </c>
      <c r="C16" s="11" t="s">
        <v>345</v>
      </c>
      <c r="D16" s="11" t="s">
        <v>20</v>
      </c>
      <c r="E16" s="11" t="s">
        <v>1869</v>
      </c>
      <c r="F16" s="11" t="s">
        <v>234</v>
      </c>
      <c r="G16" s="11" t="s">
        <v>1870</v>
      </c>
      <c r="H16" s="11" t="s">
        <v>55</v>
      </c>
      <c r="I16" s="35" t="s">
        <v>1871</v>
      </c>
      <c r="J16" s="12">
        <v>3</v>
      </c>
      <c r="K16" s="12"/>
      <c r="L16" s="44"/>
    </row>
    <row r="17" spans="1:12" ht="37.5" x14ac:dyDescent="0.35">
      <c r="A17" s="22">
        <v>12</v>
      </c>
      <c r="B17" s="22" t="s">
        <v>368</v>
      </c>
      <c r="C17" s="21" t="s">
        <v>369</v>
      </c>
      <c r="D17" s="21" t="s">
        <v>20</v>
      </c>
      <c r="E17" s="21" t="s">
        <v>1876</v>
      </c>
      <c r="F17" s="21" t="s">
        <v>371</v>
      </c>
      <c r="G17" s="21" t="s">
        <v>92</v>
      </c>
      <c r="H17" s="21" t="s">
        <v>31</v>
      </c>
      <c r="I17" s="38" t="s">
        <v>1877</v>
      </c>
      <c r="J17" s="22">
        <v>3</v>
      </c>
      <c r="K17" s="22"/>
      <c r="L17" s="44"/>
    </row>
    <row r="18" spans="1:12" ht="37.5" x14ac:dyDescent="0.35">
      <c r="A18" s="22">
        <v>13</v>
      </c>
      <c r="B18" s="12" t="s">
        <v>377</v>
      </c>
      <c r="C18" s="11" t="s">
        <v>378</v>
      </c>
      <c r="D18" s="11" t="s">
        <v>20</v>
      </c>
      <c r="E18" s="11" t="s">
        <v>1878</v>
      </c>
      <c r="F18" s="11" t="s">
        <v>380</v>
      </c>
      <c r="G18" s="11" t="s">
        <v>30</v>
      </c>
      <c r="H18" s="11" t="s">
        <v>31</v>
      </c>
      <c r="I18" s="35" t="s">
        <v>1879</v>
      </c>
      <c r="J18" s="12">
        <v>3</v>
      </c>
      <c r="K18" s="12"/>
    </row>
    <row r="19" spans="1:12" ht="50" x14ac:dyDescent="0.35">
      <c r="A19" s="22">
        <v>14</v>
      </c>
      <c r="B19" s="12" t="s">
        <v>394</v>
      </c>
      <c r="C19" s="11" t="s">
        <v>395</v>
      </c>
      <c r="D19" s="11" t="s">
        <v>20</v>
      </c>
      <c r="E19" s="11" t="s">
        <v>1882</v>
      </c>
      <c r="F19" s="11" t="s">
        <v>371</v>
      </c>
      <c r="G19" s="11" t="s">
        <v>92</v>
      </c>
      <c r="H19" s="11" t="s">
        <v>31</v>
      </c>
      <c r="I19" s="35" t="s">
        <v>1883</v>
      </c>
      <c r="J19" s="12">
        <v>3</v>
      </c>
      <c r="K19" s="12"/>
    </row>
    <row r="20" spans="1:12" ht="37.5" x14ac:dyDescent="0.35">
      <c r="A20" s="22">
        <v>15</v>
      </c>
      <c r="B20" s="12" t="s">
        <v>427</v>
      </c>
      <c r="C20" s="11" t="s">
        <v>428</v>
      </c>
      <c r="D20" s="11" t="s">
        <v>20</v>
      </c>
      <c r="E20" s="11" t="s">
        <v>1892</v>
      </c>
      <c r="F20" s="11" t="s">
        <v>133</v>
      </c>
      <c r="G20" s="11" t="s">
        <v>92</v>
      </c>
      <c r="H20" s="11" t="s">
        <v>55</v>
      </c>
      <c r="I20" s="35" t="s">
        <v>1893</v>
      </c>
      <c r="J20" s="12">
        <v>3</v>
      </c>
      <c r="K20" s="12"/>
    </row>
    <row r="21" spans="1:12" ht="37.5" x14ac:dyDescent="0.35">
      <c r="A21" s="22">
        <v>16</v>
      </c>
      <c r="B21" s="22" t="s">
        <v>435</v>
      </c>
      <c r="C21" s="21" t="s">
        <v>436</v>
      </c>
      <c r="D21" s="21" t="s">
        <v>20</v>
      </c>
      <c r="E21" s="21" t="s">
        <v>1894</v>
      </c>
      <c r="F21" s="21" t="s">
        <v>438</v>
      </c>
      <c r="G21" s="21" t="s">
        <v>92</v>
      </c>
      <c r="H21" s="21" t="s">
        <v>19</v>
      </c>
      <c r="I21" s="38" t="s">
        <v>1895</v>
      </c>
      <c r="J21" s="22">
        <v>3</v>
      </c>
      <c r="K21" s="22"/>
    </row>
    <row r="22" spans="1:12" ht="37.5" x14ac:dyDescent="0.35">
      <c r="A22" s="22">
        <v>17</v>
      </c>
      <c r="B22" s="22" t="s">
        <v>484</v>
      </c>
      <c r="C22" s="21" t="s">
        <v>485</v>
      </c>
      <c r="D22" s="21" t="s">
        <v>20</v>
      </c>
      <c r="E22" s="21" t="s">
        <v>1908</v>
      </c>
      <c r="F22" s="21" t="s">
        <v>284</v>
      </c>
      <c r="G22" s="21" t="s">
        <v>92</v>
      </c>
      <c r="H22" s="21" t="s">
        <v>31</v>
      </c>
      <c r="I22" s="38" t="s">
        <v>1909</v>
      </c>
      <c r="J22" s="22">
        <v>3</v>
      </c>
      <c r="K22" s="22"/>
    </row>
    <row r="23" spans="1:12" ht="87.5" x14ac:dyDescent="0.35">
      <c r="A23" s="22">
        <v>18</v>
      </c>
      <c r="B23" s="12" t="s">
        <v>492</v>
      </c>
      <c r="C23" s="11" t="s">
        <v>493</v>
      </c>
      <c r="D23" s="11" t="s">
        <v>20</v>
      </c>
      <c r="E23" s="11" t="s">
        <v>1910</v>
      </c>
      <c r="F23" s="11" t="s">
        <v>1911</v>
      </c>
      <c r="G23" s="11" t="s">
        <v>42</v>
      </c>
      <c r="H23" s="11" t="s">
        <v>1912</v>
      </c>
      <c r="I23" s="35" t="s">
        <v>1913</v>
      </c>
      <c r="J23" s="12">
        <v>3</v>
      </c>
      <c r="K23" s="12"/>
    </row>
    <row r="24" spans="1:12" ht="37.5" x14ac:dyDescent="0.35">
      <c r="A24" s="22">
        <v>19</v>
      </c>
      <c r="B24" s="12" t="s">
        <v>509</v>
      </c>
      <c r="C24" s="11" t="s">
        <v>510</v>
      </c>
      <c r="D24" s="11" t="s">
        <v>20</v>
      </c>
      <c r="E24" s="11" t="s">
        <v>1916</v>
      </c>
      <c r="F24" s="11" t="s">
        <v>512</v>
      </c>
      <c r="G24" s="11" t="s">
        <v>1917</v>
      </c>
      <c r="H24" s="11" t="s">
        <v>55</v>
      </c>
      <c r="I24" s="35" t="s">
        <v>1918</v>
      </c>
      <c r="J24" s="12">
        <v>3</v>
      </c>
      <c r="K24" s="12"/>
    </row>
    <row r="25" spans="1:12" ht="50" x14ac:dyDescent="0.35">
      <c r="A25" s="22">
        <v>20</v>
      </c>
      <c r="B25" s="22" t="s">
        <v>518</v>
      </c>
      <c r="C25" s="21" t="s">
        <v>519</v>
      </c>
      <c r="D25" s="21" t="s">
        <v>20</v>
      </c>
      <c r="E25" s="21" t="s">
        <v>1919</v>
      </c>
      <c r="F25" s="21" t="s">
        <v>167</v>
      </c>
      <c r="G25" s="21" t="s">
        <v>92</v>
      </c>
      <c r="H25" s="21" t="s">
        <v>55</v>
      </c>
      <c r="I25" s="38" t="s">
        <v>1920</v>
      </c>
      <c r="J25" s="22">
        <v>3</v>
      </c>
      <c r="K25" s="22"/>
    </row>
    <row r="26" spans="1:12" ht="37.5" x14ac:dyDescent="0.35">
      <c r="A26" s="22">
        <v>21</v>
      </c>
      <c r="B26" s="12" t="s">
        <v>526</v>
      </c>
      <c r="C26" s="11" t="s">
        <v>527</v>
      </c>
      <c r="D26" s="11" t="s">
        <v>20</v>
      </c>
      <c r="E26" s="11" t="s">
        <v>1921</v>
      </c>
      <c r="F26" s="11" t="s">
        <v>167</v>
      </c>
      <c r="G26" s="11" t="s">
        <v>30</v>
      </c>
      <c r="H26" s="11" t="s">
        <v>31</v>
      </c>
      <c r="I26" s="35" t="s">
        <v>1922</v>
      </c>
      <c r="J26" s="12">
        <v>3</v>
      </c>
      <c r="K26" s="12"/>
    </row>
    <row r="27" spans="1:12" ht="37.5" x14ac:dyDescent="0.35">
      <c r="A27" s="22">
        <v>22</v>
      </c>
      <c r="B27" s="22" t="s">
        <v>550</v>
      </c>
      <c r="C27" s="21" t="s">
        <v>551</v>
      </c>
      <c r="D27" s="21" t="s">
        <v>20</v>
      </c>
      <c r="E27" s="21" t="s">
        <v>1927</v>
      </c>
      <c r="F27" s="21" t="s">
        <v>553</v>
      </c>
      <c r="G27" s="21" t="s">
        <v>92</v>
      </c>
      <c r="H27" s="21" t="s">
        <v>31</v>
      </c>
      <c r="I27" s="38" t="s">
        <v>1928</v>
      </c>
      <c r="J27" s="22">
        <v>3</v>
      </c>
      <c r="K27" s="22"/>
    </row>
    <row r="28" spans="1:12" ht="37.5" x14ac:dyDescent="0.35">
      <c r="A28" s="22">
        <v>23</v>
      </c>
      <c r="B28" s="12" t="s">
        <v>574</v>
      </c>
      <c r="C28" s="11" t="s">
        <v>575</v>
      </c>
      <c r="D28" s="11" t="s">
        <v>20</v>
      </c>
      <c r="E28" s="11" t="s">
        <v>1933</v>
      </c>
      <c r="F28" s="11" t="s">
        <v>577</v>
      </c>
      <c r="G28" s="11" t="s">
        <v>92</v>
      </c>
      <c r="H28" s="11" t="s">
        <v>55</v>
      </c>
      <c r="I28" s="35" t="s">
        <v>1934</v>
      </c>
      <c r="J28" s="12">
        <v>3</v>
      </c>
      <c r="K28" s="12"/>
    </row>
    <row r="29" spans="1:12" ht="37.5" x14ac:dyDescent="0.35">
      <c r="A29" s="22">
        <v>24</v>
      </c>
      <c r="B29" s="22" t="s">
        <v>583</v>
      </c>
      <c r="C29" s="21" t="s">
        <v>584</v>
      </c>
      <c r="D29" s="21" t="s">
        <v>20</v>
      </c>
      <c r="E29" s="21" t="s">
        <v>1935</v>
      </c>
      <c r="F29" s="21" t="s">
        <v>586</v>
      </c>
      <c r="G29" s="21" t="s">
        <v>42</v>
      </c>
      <c r="H29" s="21" t="s">
        <v>55</v>
      </c>
      <c r="I29" s="38" t="s">
        <v>1936</v>
      </c>
      <c r="J29" s="22">
        <v>3</v>
      </c>
      <c r="K29" s="22"/>
    </row>
    <row r="30" spans="1:12" ht="75" x14ac:dyDescent="0.35">
      <c r="A30" s="22">
        <v>25</v>
      </c>
      <c r="B30" s="22" t="s">
        <v>600</v>
      </c>
      <c r="C30" s="21" t="s">
        <v>601</v>
      </c>
      <c r="D30" s="21" t="s">
        <v>20</v>
      </c>
      <c r="E30" s="21" t="s">
        <v>1939</v>
      </c>
      <c r="F30" s="21" t="s">
        <v>1940</v>
      </c>
      <c r="G30" s="21" t="s">
        <v>1870</v>
      </c>
      <c r="H30" s="21" t="s">
        <v>55</v>
      </c>
      <c r="I30" s="38" t="s">
        <v>1941</v>
      </c>
      <c r="J30" s="22">
        <v>3</v>
      </c>
      <c r="K30" s="22"/>
    </row>
    <row r="31" spans="1:12" ht="37.5" x14ac:dyDescent="0.35">
      <c r="A31" s="22">
        <v>26</v>
      </c>
      <c r="B31" s="12" t="s">
        <v>627</v>
      </c>
      <c r="C31" s="11" t="s">
        <v>628</v>
      </c>
      <c r="D31" s="11" t="s">
        <v>20</v>
      </c>
      <c r="E31" s="11" t="s">
        <v>1947</v>
      </c>
      <c r="F31" s="11" t="s">
        <v>553</v>
      </c>
      <c r="G31" s="11" t="s">
        <v>294</v>
      </c>
      <c r="H31" s="11" t="s">
        <v>193</v>
      </c>
      <c r="I31" s="35" t="s">
        <v>1948</v>
      </c>
      <c r="J31" s="12">
        <v>3</v>
      </c>
      <c r="K31" s="12"/>
    </row>
    <row r="32" spans="1:12" ht="37.5" x14ac:dyDescent="0.35">
      <c r="A32" s="22">
        <v>27</v>
      </c>
      <c r="B32" s="22" t="s">
        <v>702</v>
      </c>
      <c r="C32" s="21" t="s">
        <v>703</v>
      </c>
      <c r="D32" s="21" t="s">
        <v>20</v>
      </c>
      <c r="E32" s="21" t="s">
        <v>1968</v>
      </c>
      <c r="F32" s="21" t="s">
        <v>218</v>
      </c>
      <c r="G32" s="21" t="s">
        <v>42</v>
      </c>
      <c r="H32" s="21" t="s">
        <v>55</v>
      </c>
      <c r="I32" s="38" t="s">
        <v>1969</v>
      </c>
      <c r="J32" s="22">
        <v>3</v>
      </c>
      <c r="K32" s="22"/>
    </row>
    <row r="33" spans="1:11" ht="37.5" x14ac:dyDescent="0.35">
      <c r="A33" s="22">
        <v>28</v>
      </c>
      <c r="B33" s="12" t="s">
        <v>710</v>
      </c>
      <c r="C33" s="11" t="s">
        <v>711</v>
      </c>
      <c r="D33" s="11" t="s">
        <v>20</v>
      </c>
      <c r="E33" s="11" t="s">
        <v>1970</v>
      </c>
      <c r="F33" s="11" t="s">
        <v>192</v>
      </c>
      <c r="G33" s="11" t="s">
        <v>92</v>
      </c>
      <c r="H33" s="11" t="s">
        <v>55</v>
      </c>
      <c r="I33" s="35" t="s">
        <v>1971</v>
      </c>
      <c r="J33" s="12">
        <v>3</v>
      </c>
      <c r="K33" s="12"/>
    </row>
    <row r="34" spans="1:11" ht="37.5" x14ac:dyDescent="0.35">
      <c r="A34" s="22">
        <v>29</v>
      </c>
      <c r="B34" s="22" t="s">
        <v>734</v>
      </c>
      <c r="C34" s="21" t="s">
        <v>735</v>
      </c>
      <c r="D34" s="21" t="s">
        <v>20</v>
      </c>
      <c r="E34" s="21" t="s">
        <v>1976</v>
      </c>
      <c r="F34" s="21" t="s">
        <v>167</v>
      </c>
      <c r="G34" s="21" t="s">
        <v>92</v>
      </c>
      <c r="H34" s="21" t="s">
        <v>31</v>
      </c>
      <c r="I34" s="38" t="s">
        <v>1977</v>
      </c>
      <c r="J34" s="22">
        <v>3</v>
      </c>
      <c r="K34" s="22"/>
    </row>
    <row r="35" spans="1:11" ht="37.5" x14ac:dyDescent="0.35">
      <c r="A35" s="22">
        <v>30</v>
      </c>
      <c r="B35" s="12" t="s">
        <v>758</v>
      </c>
      <c r="C35" s="11" t="s">
        <v>759</v>
      </c>
      <c r="D35" s="11" t="s">
        <v>20</v>
      </c>
      <c r="E35" s="11" t="s">
        <v>1982</v>
      </c>
      <c r="F35" s="11" t="s">
        <v>1983</v>
      </c>
      <c r="G35" s="11" t="s">
        <v>1984</v>
      </c>
      <c r="H35" s="11" t="s">
        <v>31</v>
      </c>
      <c r="I35" s="35" t="s">
        <v>1985</v>
      </c>
      <c r="J35" s="12">
        <v>3</v>
      </c>
      <c r="K35" s="12"/>
    </row>
    <row r="36" spans="1:11" ht="37.5" x14ac:dyDescent="0.35">
      <c r="A36" s="22">
        <v>31</v>
      </c>
      <c r="B36" s="12" t="s">
        <v>777</v>
      </c>
      <c r="C36" s="11" t="s">
        <v>759</v>
      </c>
      <c r="D36" s="11" t="s">
        <v>20</v>
      </c>
      <c r="E36" s="11" t="s">
        <v>1988</v>
      </c>
      <c r="F36" s="11" t="s">
        <v>779</v>
      </c>
      <c r="G36" s="11" t="s">
        <v>92</v>
      </c>
      <c r="H36" s="11" t="s">
        <v>55</v>
      </c>
      <c r="I36" s="35" t="s">
        <v>1989</v>
      </c>
      <c r="J36" s="12">
        <v>3</v>
      </c>
      <c r="K36" s="12"/>
    </row>
    <row r="37" spans="1:11" ht="87.5" x14ac:dyDescent="0.35">
      <c r="A37" s="22">
        <v>32</v>
      </c>
      <c r="B37" s="22" t="s">
        <v>862</v>
      </c>
      <c r="C37" s="21" t="s">
        <v>863</v>
      </c>
      <c r="D37" s="21" t="s">
        <v>20</v>
      </c>
      <c r="E37" s="21" t="s">
        <v>2011</v>
      </c>
      <c r="F37" s="21" t="s">
        <v>2012</v>
      </c>
      <c r="G37" s="21" t="s">
        <v>2013</v>
      </c>
      <c r="H37" s="21" t="s">
        <v>55</v>
      </c>
      <c r="I37" s="38" t="s">
        <v>2014</v>
      </c>
      <c r="J37" s="22">
        <v>3</v>
      </c>
      <c r="K37" s="22"/>
    </row>
    <row r="38" spans="1:11" ht="50" x14ac:dyDescent="0.35">
      <c r="A38" s="22">
        <v>33</v>
      </c>
      <c r="B38" s="22" t="s">
        <v>878</v>
      </c>
      <c r="C38" s="21" t="s">
        <v>879</v>
      </c>
      <c r="D38" s="21" t="s">
        <v>20</v>
      </c>
      <c r="E38" s="21" t="s">
        <v>2017</v>
      </c>
      <c r="F38" s="21" t="s">
        <v>438</v>
      </c>
      <c r="G38" s="21" t="s">
        <v>294</v>
      </c>
      <c r="H38" s="21" t="s">
        <v>55</v>
      </c>
      <c r="I38" s="38" t="s">
        <v>2018</v>
      </c>
      <c r="J38" s="22">
        <v>3</v>
      </c>
      <c r="K38" s="22"/>
    </row>
    <row r="39" spans="1:11" ht="75" x14ac:dyDescent="0.35">
      <c r="A39" s="22">
        <v>34</v>
      </c>
      <c r="B39" s="22" t="s">
        <v>894</v>
      </c>
      <c r="C39" s="21" t="s">
        <v>895</v>
      </c>
      <c r="D39" s="21" t="s">
        <v>20</v>
      </c>
      <c r="E39" s="21" t="s">
        <v>2021</v>
      </c>
      <c r="F39" s="21" t="s">
        <v>2022</v>
      </c>
      <c r="G39" s="21" t="s">
        <v>92</v>
      </c>
      <c r="H39" s="21" t="s">
        <v>2023</v>
      </c>
      <c r="I39" s="38" t="s">
        <v>2024</v>
      </c>
      <c r="J39" s="22">
        <v>3</v>
      </c>
      <c r="K39" s="22"/>
    </row>
    <row r="40" spans="1:11" ht="37.5" x14ac:dyDescent="0.35">
      <c r="A40" s="22">
        <v>35</v>
      </c>
      <c r="B40" s="22" t="s">
        <v>911</v>
      </c>
      <c r="C40" s="21" t="s">
        <v>912</v>
      </c>
      <c r="D40" s="21" t="s">
        <v>20</v>
      </c>
      <c r="E40" s="21" t="s">
        <v>2028</v>
      </c>
      <c r="F40" s="21" t="s">
        <v>914</v>
      </c>
      <c r="G40" s="21" t="s">
        <v>2029</v>
      </c>
      <c r="H40" s="21" t="s">
        <v>19</v>
      </c>
      <c r="I40" s="38" t="s">
        <v>2030</v>
      </c>
      <c r="J40" s="22">
        <v>3</v>
      </c>
      <c r="K40" s="22"/>
    </row>
    <row r="41" spans="1:11" ht="37.5" x14ac:dyDescent="0.35">
      <c r="A41" s="22">
        <v>36</v>
      </c>
      <c r="B41" s="12" t="s">
        <v>936</v>
      </c>
      <c r="C41" s="11" t="s">
        <v>937</v>
      </c>
      <c r="D41" s="11" t="s">
        <v>20</v>
      </c>
      <c r="E41" s="11" t="s">
        <v>2035</v>
      </c>
      <c r="F41" s="11" t="s">
        <v>133</v>
      </c>
      <c r="G41" s="11" t="s">
        <v>92</v>
      </c>
      <c r="H41" s="11" t="s">
        <v>55</v>
      </c>
      <c r="I41" s="35" t="s">
        <v>2036</v>
      </c>
      <c r="J41" s="12">
        <v>3</v>
      </c>
      <c r="K41" s="12"/>
    </row>
    <row r="42" spans="1:11" ht="62.5" x14ac:dyDescent="0.35">
      <c r="A42" s="22">
        <v>37</v>
      </c>
      <c r="B42" s="22" t="s">
        <v>944</v>
      </c>
      <c r="C42" s="21" t="s">
        <v>945</v>
      </c>
      <c r="D42" s="21" t="s">
        <v>20</v>
      </c>
      <c r="E42" s="21" t="s">
        <v>2037</v>
      </c>
      <c r="F42" s="21" t="s">
        <v>218</v>
      </c>
      <c r="G42" s="21" t="s">
        <v>2038</v>
      </c>
      <c r="H42" s="21" t="s">
        <v>55</v>
      </c>
      <c r="I42" s="38" t="s">
        <v>2039</v>
      </c>
      <c r="J42" s="22">
        <v>3</v>
      </c>
      <c r="K42" s="22"/>
    </row>
    <row r="43" spans="1:11" ht="37.5" x14ac:dyDescent="0.35">
      <c r="A43" s="22">
        <v>38</v>
      </c>
      <c r="B43" s="12" t="s">
        <v>969</v>
      </c>
      <c r="C43" s="11" t="s">
        <v>970</v>
      </c>
      <c r="D43" s="11" t="s">
        <v>20</v>
      </c>
      <c r="E43" s="11" t="s">
        <v>2045</v>
      </c>
      <c r="F43" s="11" t="s">
        <v>234</v>
      </c>
      <c r="G43" s="11" t="s">
        <v>294</v>
      </c>
      <c r="H43" s="11" t="s">
        <v>55</v>
      </c>
      <c r="I43" s="35" t="s">
        <v>2046</v>
      </c>
      <c r="J43" s="12">
        <v>3</v>
      </c>
      <c r="K43" s="12"/>
    </row>
    <row r="44" spans="1:11" ht="50" x14ac:dyDescent="0.35">
      <c r="A44" s="22">
        <v>39</v>
      </c>
      <c r="B44" s="22" t="s">
        <v>977</v>
      </c>
      <c r="C44" s="21" t="s">
        <v>978</v>
      </c>
      <c r="D44" s="21" t="s">
        <v>20</v>
      </c>
      <c r="E44" s="21" t="s">
        <v>2047</v>
      </c>
      <c r="F44" s="21" t="s">
        <v>2048</v>
      </c>
      <c r="G44" s="21" t="s">
        <v>1800</v>
      </c>
      <c r="H44" s="21" t="s">
        <v>55</v>
      </c>
      <c r="I44" s="38" t="s">
        <v>2049</v>
      </c>
      <c r="J44" s="22">
        <v>3</v>
      </c>
      <c r="K44" s="22"/>
    </row>
    <row r="45" spans="1:11" ht="37.5" x14ac:dyDescent="0.35">
      <c r="A45" s="22">
        <v>40</v>
      </c>
      <c r="B45" s="12" t="s">
        <v>986</v>
      </c>
      <c r="C45" s="11" t="s">
        <v>987</v>
      </c>
      <c r="D45" s="11" t="s">
        <v>20</v>
      </c>
      <c r="E45" s="11" t="s">
        <v>2050</v>
      </c>
      <c r="F45" s="11" t="s">
        <v>293</v>
      </c>
      <c r="G45" s="11" t="s">
        <v>42</v>
      </c>
      <c r="H45" s="11" t="s">
        <v>31</v>
      </c>
      <c r="I45" s="35" t="s">
        <v>2051</v>
      </c>
      <c r="J45" s="12">
        <v>3</v>
      </c>
      <c r="K45" s="12"/>
    </row>
    <row r="46" spans="1:11" ht="37.5" x14ac:dyDescent="0.35">
      <c r="A46" s="22">
        <v>41</v>
      </c>
      <c r="B46" s="12" t="s">
        <v>1067</v>
      </c>
      <c r="C46" s="11" t="s">
        <v>1068</v>
      </c>
      <c r="D46" s="11" t="s">
        <v>20</v>
      </c>
      <c r="E46" s="11" t="s">
        <v>2072</v>
      </c>
      <c r="F46" s="11" t="s">
        <v>438</v>
      </c>
      <c r="G46" s="11" t="s">
        <v>92</v>
      </c>
      <c r="H46" s="11" t="s">
        <v>55</v>
      </c>
      <c r="I46" s="35" t="s">
        <v>2073</v>
      </c>
      <c r="J46" s="12">
        <v>3</v>
      </c>
      <c r="K46" s="12"/>
    </row>
    <row r="47" spans="1:11" ht="37.5" x14ac:dyDescent="0.35">
      <c r="A47" s="22">
        <v>42</v>
      </c>
      <c r="B47" s="22" t="s">
        <v>1075</v>
      </c>
      <c r="C47" s="21" t="s">
        <v>1076</v>
      </c>
      <c r="D47" s="21" t="s">
        <v>20</v>
      </c>
      <c r="E47" s="21" t="s">
        <v>2074</v>
      </c>
      <c r="F47" s="21" t="s">
        <v>167</v>
      </c>
      <c r="G47" s="21" t="s">
        <v>30</v>
      </c>
      <c r="H47" s="21" t="s">
        <v>31</v>
      </c>
      <c r="I47" s="38" t="s">
        <v>2075</v>
      </c>
      <c r="J47" s="22">
        <v>3</v>
      </c>
      <c r="K47" s="22"/>
    </row>
    <row r="48" spans="1:11" ht="50" x14ac:dyDescent="0.35">
      <c r="A48" s="22">
        <v>43</v>
      </c>
      <c r="B48" s="22" t="s">
        <v>1124</v>
      </c>
      <c r="C48" s="21" t="s">
        <v>1125</v>
      </c>
      <c r="D48" s="21" t="s">
        <v>20</v>
      </c>
      <c r="E48" s="21" t="s">
        <v>2090</v>
      </c>
      <c r="F48" s="21" t="s">
        <v>897</v>
      </c>
      <c r="G48" s="21" t="s">
        <v>92</v>
      </c>
      <c r="H48" s="21" t="s">
        <v>19</v>
      </c>
      <c r="I48" s="38" t="s">
        <v>2091</v>
      </c>
      <c r="J48" s="22">
        <v>3</v>
      </c>
      <c r="K48" s="22"/>
    </row>
    <row r="49" spans="1:11" ht="37.5" x14ac:dyDescent="0.35">
      <c r="A49" s="22">
        <v>44</v>
      </c>
      <c r="B49" s="22" t="s">
        <v>1165</v>
      </c>
      <c r="C49" s="21" t="s">
        <v>1166</v>
      </c>
      <c r="D49" s="21" t="s">
        <v>20</v>
      </c>
      <c r="E49" s="21" t="s">
        <v>2102</v>
      </c>
      <c r="F49" s="21" t="s">
        <v>243</v>
      </c>
      <c r="G49" s="21" t="s">
        <v>92</v>
      </c>
      <c r="H49" s="21" t="s">
        <v>55</v>
      </c>
      <c r="I49" s="38" t="s">
        <v>2103</v>
      </c>
      <c r="J49" s="22">
        <v>3</v>
      </c>
      <c r="K49" s="22"/>
    </row>
    <row r="50" spans="1:11" ht="50" x14ac:dyDescent="0.35">
      <c r="A50" s="22">
        <v>45</v>
      </c>
      <c r="B50" s="22" t="s">
        <v>1229</v>
      </c>
      <c r="C50" s="21" t="s">
        <v>1230</v>
      </c>
      <c r="D50" s="21" t="s">
        <v>20</v>
      </c>
      <c r="E50" s="21" t="s">
        <v>2121</v>
      </c>
      <c r="F50" s="21" t="s">
        <v>167</v>
      </c>
      <c r="G50" s="21" t="s">
        <v>92</v>
      </c>
      <c r="H50" s="21" t="s">
        <v>55</v>
      </c>
      <c r="I50" s="38" t="s">
        <v>2122</v>
      </c>
      <c r="J50" s="22">
        <v>3</v>
      </c>
      <c r="K50" s="22"/>
    </row>
    <row r="51" spans="1:11" ht="62.5" x14ac:dyDescent="0.35">
      <c r="A51" s="22">
        <v>46</v>
      </c>
      <c r="B51" s="12" t="s">
        <v>1253</v>
      </c>
      <c r="C51" s="11" t="s">
        <v>1254</v>
      </c>
      <c r="D51" s="11" t="s">
        <v>20</v>
      </c>
      <c r="E51" s="11" t="s">
        <v>2127</v>
      </c>
      <c r="F51" s="11" t="s">
        <v>167</v>
      </c>
      <c r="G51" s="11" t="s">
        <v>2105</v>
      </c>
      <c r="H51" s="11" t="s">
        <v>1851</v>
      </c>
      <c r="I51" s="35" t="s">
        <v>2128</v>
      </c>
      <c r="J51" s="12">
        <v>3</v>
      </c>
      <c r="K51" s="12"/>
    </row>
    <row r="52" spans="1:11" ht="37.5" x14ac:dyDescent="0.35">
      <c r="A52" s="22">
        <v>47</v>
      </c>
      <c r="B52" s="22" t="s">
        <v>1261</v>
      </c>
      <c r="C52" s="21" t="s">
        <v>1262</v>
      </c>
      <c r="D52" s="21" t="s">
        <v>20</v>
      </c>
      <c r="E52" s="21" t="s">
        <v>2129</v>
      </c>
      <c r="F52" s="21" t="s">
        <v>1264</v>
      </c>
      <c r="G52" s="21" t="s">
        <v>30</v>
      </c>
      <c r="H52" s="21" t="s">
        <v>31</v>
      </c>
      <c r="I52" s="38" t="s">
        <v>2130</v>
      </c>
      <c r="J52" s="22">
        <v>3</v>
      </c>
      <c r="K52" s="22"/>
    </row>
    <row r="53" spans="1:11" ht="37.5" x14ac:dyDescent="0.35">
      <c r="A53" s="22">
        <v>48</v>
      </c>
      <c r="B53" s="12" t="s">
        <v>1270</v>
      </c>
      <c r="C53" s="11" t="s">
        <v>1271</v>
      </c>
      <c r="D53" s="11" t="s">
        <v>20</v>
      </c>
      <c r="E53" s="11" t="s">
        <v>2131</v>
      </c>
      <c r="F53" s="11" t="s">
        <v>234</v>
      </c>
      <c r="G53" s="11" t="s">
        <v>42</v>
      </c>
      <c r="H53" s="11" t="s">
        <v>55</v>
      </c>
      <c r="I53" s="35" t="s">
        <v>2132</v>
      </c>
      <c r="J53" s="12">
        <v>3</v>
      </c>
      <c r="K53" s="12"/>
    </row>
    <row r="54" spans="1:11" ht="37.5" x14ac:dyDescent="0.35">
      <c r="A54" s="22">
        <v>49</v>
      </c>
      <c r="B54" s="22" t="s">
        <v>1294</v>
      </c>
      <c r="C54" s="21" t="s">
        <v>1295</v>
      </c>
      <c r="D54" s="21" t="s">
        <v>20</v>
      </c>
      <c r="E54" s="21" t="s">
        <v>2137</v>
      </c>
      <c r="F54" s="21" t="s">
        <v>380</v>
      </c>
      <c r="G54" s="21" t="s">
        <v>30</v>
      </c>
      <c r="H54" s="21" t="s">
        <v>31</v>
      </c>
      <c r="I54" s="38" t="s">
        <v>2138</v>
      </c>
      <c r="J54" s="22">
        <v>3</v>
      </c>
      <c r="K54" s="22"/>
    </row>
    <row r="55" spans="1:11" ht="50" x14ac:dyDescent="0.35">
      <c r="A55" s="22">
        <v>50</v>
      </c>
      <c r="B55" s="12" t="s">
        <v>1302</v>
      </c>
      <c r="C55" s="11" t="s">
        <v>1303</v>
      </c>
      <c r="D55" s="11" t="s">
        <v>20</v>
      </c>
      <c r="E55" s="11" t="s">
        <v>2139</v>
      </c>
      <c r="F55" s="11" t="s">
        <v>1854</v>
      </c>
      <c r="G55" s="11" t="s">
        <v>2140</v>
      </c>
      <c r="H55" s="11" t="s">
        <v>55</v>
      </c>
      <c r="I55" s="35" t="s">
        <v>2141</v>
      </c>
      <c r="J55" s="12">
        <v>3</v>
      </c>
      <c r="K55" s="12"/>
    </row>
    <row r="56" spans="1:11" ht="50" x14ac:dyDescent="0.35">
      <c r="A56" s="22">
        <v>51</v>
      </c>
      <c r="B56" s="22" t="s">
        <v>1310</v>
      </c>
      <c r="C56" s="21" t="s">
        <v>1311</v>
      </c>
      <c r="D56" s="21" t="s">
        <v>20</v>
      </c>
      <c r="E56" s="21" t="s">
        <v>2142</v>
      </c>
      <c r="F56" s="21" t="s">
        <v>897</v>
      </c>
      <c r="G56" s="21" t="s">
        <v>92</v>
      </c>
      <c r="H56" s="21" t="s">
        <v>55</v>
      </c>
      <c r="I56" s="38" t="s">
        <v>2143</v>
      </c>
      <c r="J56" s="22">
        <v>3</v>
      </c>
      <c r="K56" s="22"/>
    </row>
    <row r="57" spans="1:11" ht="37.5" x14ac:dyDescent="0.35">
      <c r="A57" s="22">
        <v>52</v>
      </c>
      <c r="B57" s="12" t="s">
        <v>1318</v>
      </c>
      <c r="C57" s="11" t="s">
        <v>1319</v>
      </c>
      <c r="D57" s="11" t="s">
        <v>20</v>
      </c>
      <c r="E57" s="11" t="s">
        <v>2144</v>
      </c>
      <c r="F57" s="11" t="s">
        <v>553</v>
      </c>
      <c r="G57" s="11" t="s">
        <v>42</v>
      </c>
      <c r="H57" s="11" t="s">
        <v>193</v>
      </c>
      <c r="I57" s="35" t="s">
        <v>2145</v>
      </c>
      <c r="J57" s="12">
        <v>3</v>
      </c>
      <c r="K57" s="12"/>
    </row>
    <row r="58" spans="1:11" ht="37.5" x14ac:dyDescent="0.35">
      <c r="A58" s="22">
        <v>53</v>
      </c>
      <c r="B58" s="12" t="s">
        <v>1396</v>
      </c>
      <c r="C58" s="11" t="s">
        <v>1397</v>
      </c>
      <c r="D58" s="11" t="s">
        <v>20</v>
      </c>
      <c r="E58" s="11" t="s">
        <v>2167</v>
      </c>
      <c r="F58" s="11" t="s">
        <v>320</v>
      </c>
      <c r="G58" s="11" t="s">
        <v>1811</v>
      </c>
      <c r="H58" s="11" t="s">
        <v>2168</v>
      </c>
      <c r="I58" s="35" t="s">
        <v>2169</v>
      </c>
      <c r="J58" s="12">
        <v>3</v>
      </c>
      <c r="K58" s="12"/>
    </row>
    <row r="59" spans="1:11" ht="62.5" x14ac:dyDescent="0.35">
      <c r="A59" s="22">
        <v>54</v>
      </c>
      <c r="B59" s="22" t="s">
        <v>1420</v>
      </c>
      <c r="C59" s="21" t="s">
        <v>1421</v>
      </c>
      <c r="D59" s="21" t="s">
        <v>20</v>
      </c>
      <c r="E59" s="21" t="s">
        <v>2176</v>
      </c>
      <c r="F59" s="21" t="s">
        <v>438</v>
      </c>
      <c r="G59" s="21" t="s">
        <v>2177</v>
      </c>
      <c r="H59" s="21" t="s">
        <v>19</v>
      </c>
      <c r="I59" s="38" t="s">
        <v>2178</v>
      </c>
      <c r="J59" s="22">
        <v>3</v>
      </c>
      <c r="K59" s="22"/>
    </row>
    <row r="60" spans="1:11" ht="50" x14ac:dyDescent="0.35">
      <c r="A60" s="22">
        <v>55</v>
      </c>
      <c r="B60" s="12" t="s">
        <v>1478</v>
      </c>
      <c r="C60" s="11" t="s">
        <v>1479</v>
      </c>
      <c r="D60" s="11" t="s">
        <v>1463</v>
      </c>
      <c r="E60" s="11" t="s">
        <v>2193</v>
      </c>
      <c r="F60" s="11" t="s">
        <v>1481</v>
      </c>
      <c r="G60" s="11" t="s">
        <v>92</v>
      </c>
      <c r="H60" s="11" t="s">
        <v>2023</v>
      </c>
      <c r="I60" s="35" t="s">
        <v>2194</v>
      </c>
      <c r="J60" s="12">
        <v>3</v>
      </c>
      <c r="K60" s="12"/>
    </row>
    <row r="61" spans="1:11" ht="37.5" x14ac:dyDescent="0.35">
      <c r="A61" s="22">
        <v>56</v>
      </c>
      <c r="B61" s="12" t="s">
        <v>1495</v>
      </c>
      <c r="C61" s="11" t="s">
        <v>1496</v>
      </c>
      <c r="D61" s="11" t="s">
        <v>1463</v>
      </c>
      <c r="E61" s="11" t="s">
        <v>2198</v>
      </c>
      <c r="F61" s="11" t="s">
        <v>218</v>
      </c>
      <c r="G61" s="11" t="s">
        <v>324</v>
      </c>
      <c r="H61" s="11" t="s">
        <v>31</v>
      </c>
      <c r="I61" s="35" t="s">
        <v>2199</v>
      </c>
      <c r="J61" s="12">
        <v>3</v>
      </c>
      <c r="K61" s="12"/>
    </row>
    <row r="62" spans="1:11" ht="50" x14ac:dyDescent="0.35">
      <c r="A62" s="22">
        <v>57</v>
      </c>
      <c r="B62" s="22" t="s">
        <v>1503</v>
      </c>
      <c r="C62" s="21" t="s">
        <v>1504</v>
      </c>
      <c r="D62" s="21" t="s">
        <v>1463</v>
      </c>
      <c r="E62" s="21" t="s">
        <v>2200</v>
      </c>
      <c r="F62" s="21" t="s">
        <v>218</v>
      </c>
      <c r="G62" s="21" t="s">
        <v>324</v>
      </c>
      <c r="H62" s="21" t="s">
        <v>31</v>
      </c>
      <c r="I62" s="38" t="s">
        <v>2201</v>
      </c>
      <c r="J62" s="22">
        <v>3</v>
      </c>
      <c r="K62" s="22"/>
    </row>
    <row r="63" spans="1:11" ht="50" x14ac:dyDescent="0.35">
      <c r="A63" s="22">
        <v>58</v>
      </c>
      <c r="B63" s="22" t="s">
        <v>1519</v>
      </c>
      <c r="C63" s="21" t="s">
        <v>1520</v>
      </c>
      <c r="D63" s="21" t="s">
        <v>1463</v>
      </c>
      <c r="E63" s="21" t="s">
        <v>2205</v>
      </c>
      <c r="F63" s="21" t="s">
        <v>167</v>
      </c>
      <c r="G63" s="21" t="s">
        <v>2206</v>
      </c>
      <c r="H63" s="21" t="s">
        <v>2207</v>
      </c>
      <c r="I63" s="38" t="s">
        <v>2208</v>
      </c>
      <c r="J63" s="22">
        <v>3</v>
      </c>
      <c r="K63" s="22"/>
    </row>
    <row r="64" spans="1:11" ht="37.5" x14ac:dyDescent="0.35">
      <c r="A64" s="22">
        <v>59</v>
      </c>
      <c r="B64" s="22" t="s">
        <v>1535</v>
      </c>
      <c r="C64" s="21" t="s">
        <v>1536</v>
      </c>
      <c r="D64" s="21" t="s">
        <v>1463</v>
      </c>
      <c r="E64" s="21" t="s">
        <v>2211</v>
      </c>
      <c r="F64" s="21" t="s">
        <v>167</v>
      </c>
      <c r="G64" s="21" t="s">
        <v>30</v>
      </c>
      <c r="H64" s="21" t="s">
        <v>31</v>
      </c>
      <c r="I64" s="38" t="s">
        <v>2212</v>
      </c>
      <c r="J64" s="22">
        <v>3</v>
      </c>
      <c r="K64" s="22"/>
    </row>
    <row r="65" spans="1:11" ht="37.5" x14ac:dyDescent="0.35">
      <c r="A65" s="22">
        <v>60</v>
      </c>
      <c r="B65" s="22" t="s">
        <v>1552</v>
      </c>
      <c r="C65" s="21" t="s">
        <v>1553</v>
      </c>
      <c r="D65" s="21" t="s">
        <v>1463</v>
      </c>
      <c r="E65" s="21" t="s">
        <v>2216</v>
      </c>
      <c r="F65" s="21" t="s">
        <v>1555</v>
      </c>
      <c r="G65" s="21" t="s">
        <v>92</v>
      </c>
      <c r="H65" s="21" t="s">
        <v>55</v>
      </c>
      <c r="I65" s="38" t="s">
        <v>2217</v>
      </c>
      <c r="J65" s="22">
        <v>3</v>
      </c>
      <c r="K65" s="22"/>
    </row>
    <row r="66" spans="1:11" ht="37.5" x14ac:dyDescent="0.35">
      <c r="A66" s="22">
        <v>61</v>
      </c>
      <c r="B66" s="12" t="s">
        <v>1561</v>
      </c>
      <c r="C66" s="11" t="s">
        <v>1562</v>
      </c>
      <c r="D66" s="11" t="s">
        <v>1463</v>
      </c>
      <c r="E66" s="11" t="s">
        <v>2218</v>
      </c>
      <c r="F66" s="11" t="s">
        <v>133</v>
      </c>
      <c r="G66" s="11" t="s">
        <v>92</v>
      </c>
      <c r="H66" s="11" t="s">
        <v>55</v>
      </c>
      <c r="I66" s="35" t="s">
        <v>2219</v>
      </c>
      <c r="J66" s="12">
        <v>3</v>
      </c>
      <c r="K66" s="12"/>
    </row>
    <row r="67" spans="1:11" ht="37.5" x14ac:dyDescent="0.35">
      <c r="A67" s="22">
        <v>62</v>
      </c>
      <c r="B67" s="22" t="s">
        <v>1586</v>
      </c>
      <c r="C67" s="21" t="s">
        <v>1587</v>
      </c>
      <c r="D67" s="21" t="s">
        <v>1463</v>
      </c>
      <c r="E67" s="21" t="s">
        <v>2227</v>
      </c>
      <c r="F67" s="21" t="s">
        <v>438</v>
      </c>
      <c r="G67" s="21" t="s">
        <v>1811</v>
      </c>
      <c r="H67" s="21" t="s">
        <v>19</v>
      </c>
      <c r="I67" s="38" t="s">
        <v>2228</v>
      </c>
      <c r="J67" s="22">
        <v>3</v>
      </c>
      <c r="K67" s="22"/>
    </row>
    <row r="68" spans="1:11" ht="75" x14ac:dyDescent="0.35">
      <c r="A68" s="22">
        <v>63</v>
      </c>
      <c r="B68" s="22" t="s">
        <v>1651</v>
      </c>
      <c r="C68" s="21" t="s">
        <v>1652</v>
      </c>
      <c r="D68" s="21" t="s">
        <v>1463</v>
      </c>
      <c r="E68" s="21" t="s">
        <v>2244</v>
      </c>
      <c r="F68" s="21" t="s">
        <v>2245</v>
      </c>
      <c r="G68" s="21" t="s">
        <v>2026</v>
      </c>
      <c r="H68" s="21" t="s">
        <v>55</v>
      </c>
      <c r="I68" s="38" t="s">
        <v>2246</v>
      </c>
      <c r="J68" s="22">
        <v>3</v>
      </c>
      <c r="K68" s="22"/>
    </row>
    <row r="69" spans="1:11" ht="37.5" x14ac:dyDescent="0.35">
      <c r="A69" s="22">
        <v>64</v>
      </c>
      <c r="B69" s="12" t="s">
        <v>1660</v>
      </c>
      <c r="C69" s="11" t="s">
        <v>1661</v>
      </c>
      <c r="D69" s="11" t="s">
        <v>1463</v>
      </c>
      <c r="E69" s="11" t="s">
        <v>2247</v>
      </c>
      <c r="F69" s="11" t="s">
        <v>438</v>
      </c>
      <c r="G69" s="11" t="s">
        <v>30</v>
      </c>
      <c r="H69" s="11" t="s">
        <v>19</v>
      </c>
      <c r="I69" s="35" t="s">
        <v>2248</v>
      </c>
      <c r="J69" s="12">
        <v>3</v>
      </c>
      <c r="K69" s="12"/>
    </row>
    <row r="70" spans="1:11" ht="37.5" x14ac:dyDescent="0.35">
      <c r="A70" s="22">
        <v>65</v>
      </c>
      <c r="B70" s="22" t="s">
        <v>1702</v>
      </c>
      <c r="C70" s="21" t="s">
        <v>1703</v>
      </c>
      <c r="D70" s="21" t="s">
        <v>1679</v>
      </c>
      <c r="E70" s="21" t="s">
        <v>2259</v>
      </c>
      <c r="F70" s="21" t="s">
        <v>438</v>
      </c>
      <c r="G70" s="21" t="s">
        <v>324</v>
      </c>
      <c r="H70" s="21" t="s">
        <v>55</v>
      </c>
      <c r="I70" s="38" t="s">
        <v>2260</v>
      </c>
      <c r="J70" s="22">
        <v>3</v>
      </c>
      <c r="K70" s="22"/>
    </row>
    <row r="71" spans="1:11" ht="75" x14ac:dyDescent="0.35">
      <c r="A71" s="22">
        <v>66</v>
      </c>
      <c r="B71" s="12" t="s">
        <v>1742</v>
      </c>
      <c r="C71" s="11" t="s">
        <v>1743</v>
      </c>
      <c r="D71" s="11" t="s">
        <v>1746</v>
      </c>
      <c r="E71" s="11" t="s">
        <v>2269</v>
      </c>
      <c r="F71" s="11" t="s">
        <v>2270</v>
      </c>
      <c r="G71" s="11" t="s">
        <v>2271</v>
      </c>
      <c r="H71" s="11" t="s">
        <v>2225</v>
      </c>
      <c r="I71" s="35" t="s">
        <v>2272</v>
      </c>
      <c r="J71" s="12">
        <v>3</v>
      </c>
      <c r="K71" s="12"/>
    </row>
    <row r="72" spans="1:11" ht="50" x14ac:dyDescent="0.35">
      <c r="A72" s="22">
        <v>67</v>
      </c>
      <c r="B72" s="22" t="s">
        <v>1751</v>
      </c>
      <c r="C72" s="21" t="s">
        <v>1752</v>
      </c>
      <c r="D72" s="21" t="s">
        <v>1746</v>
      </c>
      <c r="E72" s="21" t="s">
        <v>2273</v>
      </c>
      <c r="F72" s="21" t="s">
        <v>577</v>
      </c>
      <c r="G72" s="21" t="s">
        <v>92</v>
      </c>
      <c r="H72" s="21" t="s">
        <v>55</v>
      </c>
      <c r="I72" s="38" t="s">
        <v>2272</v>
      </c>
      <c r="J72" s="22">
        <v>3</v>
      </c>
      <c r="K72" s="22"/>
    </row>
    <row r="73" spans="1:11" ht="37.5" x14ac:dyDescent="0.35">
      <c r="A73" s="22">
        <v>68</v>
      </c>
      <c r="B73" s="12" t="s">
        <v>1756</v>
      </c>
      <c r="C73" s="11" t="s">
        <v>1757</v>
      </c>
      <c r="D73" s="11" t="s">
        <v>1746</v>
      </c>
      <c r="E73" s="11" t="s">
        <v>2274</v>
      </c>
      <c r="F73" s="11" t="s">
        <v>243</v>
      </c>
      <c r="G73" s="11" t="s">
        <v>92</v>
      </c>
      <c r="H73" s="11" t="s">
        <v>55</v>
      </c>
      <c r="I73" s="35" t="s">
        <v>2272</v>
      </c>
      <c r="J73" s="12">
        <v>3</v>
      </c>
      <c r="K73" s="12"/>
    </row>
    <row r="74" spans="1:11" ht="37.5" x14ac:dyDescent="0.35">
      <c r="A74" s="22">
        <v>69</v>
      </c>
      <c r="B74" s="22" t="s">
        <v>1761</v>
      </c>
      <c r="C74" s="21" t="s">
        <v>1762</v>
      </c>
      <c r="D74" s="21" t="s">
        <v>1746</v>
      </c>
      <c r="E74" s="21" t="s">
        <v>2275</v>
      </c>
      <c r="F74" s="21" t="s">
        <v>577</v>
      </c>
      <c r="G74" s="21" t="s">
        <v>92</v>
      </c>
      <c r="H74" s="21" t="s">
        <v>55</v>
      </c>
      <c r="I74" s="38" t="s">
        <v>2272</v>
      </c>
      <c r="J74" s="22">
        <v>3</v>
      </c>
      <c r="K7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Team Wise</vt:lpstr>
      <vt:lpstr>Team Evaluation</vt:lpstr>
      <vt:lpstr>AI</vt:lpstr>
      <vt:lpstr>CS</vt:lpstr>
      <vt:lpstr>IOT</vt:lpstr>
      <vt:lpstr>NA</vt:lpstr>
      <vt:lpstr>1ST</vt:lpstr>
      <vt:lpstr>2ND</vt:lpstr>
      <vt:lpstr>3RD</vt:lpstr>
      <vt:lpstr>4TH</vt:lpstr>
      <vt:lpstr>VIGNAN</vt:lpstr>
      <vt:lpstr>OTHERS</vt:lpstr>
      <vt:lpstr>'Team Evaluation'!Print_Titles</vt:lpstr>
      <vt:lpstr>'Team Wise'!Print_Titles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2026-10-05T08:48:23Z</dcterms:created>
  <dcterms:modified xsi:type="dcterms:W3CDTF">2026-10-05T09:27:21Z</dcterms:modified>
  <dc:language>en-US</dc:language>
</cp:coreProperties>
</file>